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ummary" sheetId="1" state="visible" r:id="rId3"/>
    <sheet name="Programme Detail" sheetId="2" state="visible" r:id="rId4"/>
    <sheet name="Instructions &amp;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<sst xmlns="http://schemas.openxmlformats.org/spreadsheetml/2006/main" count="207" uniqueCount="177">
  <si>
    <t xml:space="preserve">PORTFOLIO DELIVERY HEALTH DASHBOARD</t>
  </si>
  <si>
    <t xml:space="preserve">Portfolio / Programme Owner:</t>
  </si>
  <si>
    <t xml:space="preserve">Reporting Period:</t>
  </si>
  <si>
    <t xml:space="preserve">Date Prepared:</t>
  </si>
  <si>
    <t xml:space="preserve">RAG KEY:</t>
  </si>
  <si>
    <t xml:space="preserve">G = On Track</t>
  </si>
  <si>
    <t xml:space="preserve">A = At Risk</t>
  </si>
  <si>
    <t xml:space="preserve">R = Critical</t>
  </si>
  <si>
    <t xml:space="preserve">Programme / Project Name</t>
  </si>
  <si>
    <t xml:space="preserve">PM Owner</t>
  </si>
  <si>
    <t xml:space="preserve">Overall
RAG</t>
  </si>
  <si>
    <t xml:space="preserve">Schedule
RAG</t>
  </si>
  <si>
    <t xml:space="preserve">Budget
RAG</t>
  </si>
  <si>
    <t xml:space="preserve">Risk
RAG</t>
  </si>
  <si>
    <t xml:space="preserve">Issues
RAG</t>
  </si>
  <si>
    <t xml:space="preserve">% Complete</t>
  </si>
  <si>
    <t xml:space="preserve">Budget (₹ / $)</t>
  </si>
  <si>
    <t xml:space="preserve">Actuals to Date</t>
  </si>
  <si>
    <t xml:space="preserve">Forecast at Completion</t>
  </si>
  <si>
    <t xml:space="preserve">Variance</t>
  </si>
  <si>
    <t xml:space="preserve">Next Key Milestone</t>
  </si>
  <si>
    <t xml:space="preserve">Milestone Due Date</t>
  </si>
  <si>
    <t xml:space="preserve">Top Risk / Issue</t>
  </si>
  <si>
    <t xml:space="preserve">Leadership Attention?</t>
  </si>
  <si>
    <t xml:space="preserve">PORTFOLIO TOTALS</t>
  </si>
  <si>
    <t xml:space="preserve">PROGRAMME DELIVERY HEALTH REPORT</t>
  </si>
  <si>
    <t xml:space="preserve">  A.  PROGRAMME OVERVIEW</t>
  </si>
  <si>
    <t xml:space="preserve">Programme Name:</t>
  </si>
  <si>
    <t xml:space="preserve">Sponsor:</t>
  </si>
  <si>
    <t xml:space="preserve">Programme Manager:</t>
  </si>
  <si>
    <t xml:space="preserve">Start Date:</t>
  </si>
  <si>
    <t xml:space="preserve">Planned End Date:</t>
  </si>
  <si>
    <t xml:space="preserve">Revised End Date:</t>
  </si>
  <si>
    <t xml:space="preserve">Phase / Stage:</t>
  </si>
  <si>
    <t xml:space="preserve">Programme Type:</t>
  </si>
  <si>
    <t xml:space="preserve">Business Domain:</t>
  </si>
  <si>
    <t xml:space="preserve">Delivery Methodology:</t>
  </si>
  <si>
    <t xml:space="preserve">  B.  RAG STATUS SCORECARD</t>
  </si>
  <si>
    <t xml:space="preserve">Dimension</t>
  </si>
  <si>
    <t xml:space="preserve">Overall Delivery</t>
  </si>
  <si>
    <t xml:space="preserve">Schedule / Milestones</t>
  </si>
  <si>
    <t xml:space="preserve">Budget / Cost</t>
  </si>
  <si>
    <t xml:space="preserve">Risks</t>
  </si>
  <si>
    <t xml:space="preserve">Issues</t>
  </si>
  <si>
    <t xml:space="preserve">Resource / Capacity</t>
  </si>
  <si>
    <t xml:space="preserve">Dependency</t>
  </si>
  <si>
    <t xml:space="preserve">Stakeholder / Comms</t>
  </si>
  <si>
    <t xml:space="preserve">Current Period RAG</t>
  </si>
  <si>
    <t xml:space="preserve">Prior Period RAG</t>
  </si>
  <si>
    <t xml:space="preserve">Trend (↑↓→)</t>
  </si>
  <si>
    <t xml:space="preserve">  C.  EXECUTIVE COMMENTARY / HEADLINE STATUS</t>
  </si>
  <si>
    <t xml:space="preserve">Provide a concise 3–5 line summary of overall programme health, key achievements this period, and forward-looking outlook.</t>
  </si>
  <si>
    <t xml:space="preserve">  D.  BUDGET &amp; FINANCIAL STATUS</t>
  </si>
  <si>
    <t xml:space="preserve">Cost Category</t>
  </si>
  <si>
    <t xml:space="preserve">Approved Budget</t>
  </si>
  <si>
    <t xml:space="preserve">Actuals (Period)</t>
  </si>
  <si>
    <t xml:space="preserve">Actuals (Cumulative)</t>
  </si>
  <si>
    <t xml:space="preserve">Variance (Budget vs FAC)</t>
  </si>
  <si>
    <t xml:space="preserve">% Utilised</t>
  </si>
  <si>
    <t xml:space="preserve">Contingency Budget</t>
  </si>
  <si>
    <t xml:space="preserve">Contingency Used</t>
  </si>
  <si>
    <t xml:space="preserve">Notes</t>
  </si>
  <si>
    <t xml:space="preserve">CAPEX</t>
  </si>
  <si>
    <t xml:space="preserve">OPEX</t>
  </si>
  <si>
    <t xml:space="preserve">Resource</t>
  </si>
  <si>
    <t xml:space="preserve">Vendor / 3rd Party</t>
  </si>
  <si>
    <t xml:space="preserve">Contingency</t>
  </si>
  <si>
    <t xml:space="preserve">TOTAL</t>
  </si>
  <si>
    <t xml:space="preserve">Budget RAG Status:</t>
  </si>
  <si>
    <t xml:space="preserve">  E.  MILESTONE TRACKER</t>
  </si>
  <si>
    <t xml:space="preserve">#</t>
  </si>
  <si>
    <t xml:space="preserve">Milestone / Deliverable</t>
  </si>
  <si>
    <t xml:space="preserve">Owner</t>
  </si>
  <si>
    <t xml:space="preserve">Baseline Date</t>
  </si>
  <si>
    <t xml:space="preserve">Revised Date</t>
  </si>
  <si>
    <t xml:space="preserve">Actual / Forecast Date</t>
  </si>
  <si>
    <t xml:space="preserve">RAG</t>
  </si>
  <si>
    <t xml:space="preserve">Status</t>
  </si>
  <si>
    <t xml:space="preserve">Variance (Days)</t>
  </si>
  <si>
    <t xml:space="preserve">Comments</t>
  </si>
  <si>
    <t xml:space="preserve">  F.  KEY RISKS</t>
  </si>
  <si>
    <t xml:space="preserve">Risk Description</t>
  </si>
  <si>
    <t xml:space="preserve">Category</t>
  </si>
  <si>
    <t xml:space="preserve">Probability
(H/M/L)</t>
  </si>
  <si>
    <t xml:space="preserve">Impact
(H/M/L)</t>
  </si>
  <si>
    <t xml:space="preserve">Risk Rating</t>
  </si>
  <si>
    <t xml:space="preserve">Mitigation Action</t>
  </si>
  <si>
    <t xml:space="preserve">Due Date</t>
  </si>
  <si>
    <t xml:space="preserve">Residual RAG</t>
  </si>
  <si>
    <t xml:space="preserve">  G.  KEY ISSUES</t>
  </si>
  <si>
    <t xml:space="preserve">Issue Description</t>
  </si>
  <si>
    <t xml:space="preserve">Priority
(H/M/L)</t>
  </si>
  <si>
    <t xml:space="preserve">Impact</t>
  </si>
  <si>
    <t xml:space="preserve">Resolution Action</t>
  </si>
  <si>
    <t xml:space="preserve">Raised Date</t>
  </si>
  <si>
    <t xml:space="preserve">Target Resolution</t>
  </si>
  <si>
    <t xml:space="preserve">  H.  ESCALATIONS</t>
  </si>
  <si>
    <t xml:space="preserve">Escalation Item</t>
  </si>
  <si>
    <t xml:space="preserve">Escalated By</t>
  </si>
  <si>
    <t xml:space="preserve">Escalated To</t>
  </si>
  <si>
    <t xml:space="preserve">Date Raised</t>
  </si>
  <si>
    <t xml:space="preserve">Priority</t>
  </si>
  <si>
    <t xml:space="preserve">Decision / Action Required</t>
  </si>
  <si>
    <t xml:space="preserve">Target Date</t>
  </si>
  <si>
    <t xml:space="preserve">Resolution / Outcome</t>
  </si>
  <si>
    <t xml:space="preserve">  I.  KEY ACTIONS &amp; DECISIONS</t>
  </si>
  <si>
    <t xml:space="preserve">Action / Decision Required</t>
  </si>
  <si>
    <t xml:space="preserve">Type
(Action/Decision)</t>
  </si>
  <si>
    <t xml:space="preserve">Dependencies</t>
  </si>
  <si>
    <t xml:space="preserve">Completion Date</t>
  </si>
  <si>
    <t xml:space="preserve">  J.  LEADERSHIP ATTENTION REQUIRED  ⚠</t>
  </si>
  <si>
    <t xml:space="preserve">Item Requiring Leadership Attention</t>
  </si>
  <si>
    <t xml:space="preserve">Impact if Not Addressed</t>
  </si>
  <si>
    <t xml:space="preserve">Recommendation / Ask</t>
  </si>
  <si>
    <t xml:space="preserve">Decision Needed By</t>
  </si>
  <si>
    <t xml:space="preserve">  K.  KEY DEPENDENCIES</t>
  </si>
  <si>
    <t xml:space="preserve">Dependency Description</t>
  </si>
  <si>
    <t xml:space="preserve">Dependent On
(Team/System/Programme)</t>
  </si>
  <si>
    <t xml:space="preserve">Type
(Internal/External)</t>
  </si>
  <si>
    <t xml:space="preserve">Impact if Delayed</t>
  </si>
  <si>
    <t xml:space="preserve">  L.  PERIOD HIGHLIGHTS, DECISIONS &amp; NEXT PERIOD FOCUS</t>
  </si>
  <si>
    <t xml:space="preserve">Achievements / Completed This Period</t>
  </si>
  <si>
    <t xml:space="preserve">Key Decisions Made</t>
  </si>
  <si>
    <t xml:space="preserve">Focus Areas &amp; Planned Actions for Next Period</t>
  </si>
  <si>
    <t xml:space="preserve">Assumptions &amp; Constraints</t>
  </si>
  <si>
    <t xml:space="preserve">CONFIDENTIAL — For internal / governance use only  |  Template: Portfolio &amp; Programme Delivery Health Report  |  Version 1.0</t>
  </si>
  <si>
    <t xml:space="preserve">HOW TO USE THIS TEMPLATE</t>
  </si>
  <si>
    <t xml:space="preserve">SHEET STRUCTURE</t>
  </si>
  <si>
    <t xml:space="preserve">Portfolio Summary</t>
  </si>
  <si>
    <t xml:space="preserve">One-line-per-programme RAG dashboard. Update this each reporting cycle. Budget variance is auto-calculated. Leadership Attention? column turns red automatically when 'Yes' is entered.</t>
  </si>
  <si>
    <t xml:space="preserve">Programme Detail</t>
  </si>
  <si>
    <t xml:space="preserve">Full-depth report for a single programme. Duplicate this tab for each programme/project in your portfolio. Rename each tab with the programme name.</t>
  </si>
  <si>
    <t xml:space="preserve">RAG CONVENTION</t>
  </si>
  <si>
    <t xml:space="preserve">R — Red / Critical</t>
  </si>
  <si>
    <t xml:space="preserve">Programme is off track. Immediate intervention or escalation required. Leadership attention likely needed.</t>
  </si>
  <si>
    <t xml:space="preserve">A — Amber / At Risk</t>
  </si>
  <si>
    <t xml:space="preserve">Programme is at risk of going off track. Active mitigation underway. Monitor closely.</t>
  </si>
  <si>
    <t xml:space="preserve">G — Green / On Track</t>
  </si>
  <si>
    <t xml:space="preserve">Programme is delivering to plan within acceptable tolerances.</t>
  </si>
  <si>
    <t xml:space="preserve">SECTIONS GUIDE</t>
  </si>
  <si>
    <t xml:space="preserve">A. Programme Overview</t>
  </si>
  <si>
    <t xml:space="preserve">Complete header meta before sharing. Drives context for all downstream sections.</t>
  </si>
  <si>
    <t xml:space="preserve">B. RAG Scorecard</t>
  </si>
  <si>
    <t xml:space="preserve">Assess each dimension independently. Enter Prior Period RAG to track trend. Trend column: use ↑ (improving), ↓ (deteriorating), → (stable).</t>
  </si>
  <si>
    <t xml:space="preserve">C. Executive Commentary</t>
  </si>
  <si>
    <t xml:space="preserve">3–5 lines max. Tone: factual, forward-looking. Avoid jargon.</t>
  </si>
  <si>
    <t xml:space="preserve">D. Budget &amp; Financial Status</t>
  </si>
  <si>
    <t xml:space="preserve">Enter approved budget and actuals. Variance and % Utilised auto-calculate. Use consistent currency units across all programmes.</t>
  </si>
  <si>
    <t xml:space="preserve">E. Milestone Tracker</t>
  </si>
  <si>
    <t xml:space="preserve">List top 10 milestones. Variance (days) auto-calculates from Revised vs Actual/Forecast date. Positive = late; negative = early.</t>
  </si>
  <si>
    <t xml:space="preserve">F. Key Risks</t>
  </si>
  <si>
    <t xml:space="preserve">Top 8 risks. Risk Rating auto-calculates from Probability × Impact (H/M/L). Focus residual RAG on post-mitigation exposure.</t>
  </si>
  <si>
    <t xml:space="preserve">G. Key Issues</t>
  </si>
  <si>
    <t xml:space="preserve">Materialised risks. Distinguish from risks: issues are happening now.</t>
  </si>
  <si>
    <t xml:space="preserve">H. Escalations</t>
  </si>
  <si>
    <t xml:space="preserve">Items formally escalated beyond the programme team. Include what decision is needed and by when.</t>
  </si>
  <si>
    <t xml:space="preserve">I. Key Actions &amp; Decisions</t>
  </si>
  <si>
    <t xml:space="preserve">Actions log — not a full project plan. Focus on cross-cutting, blockers, or governance actions.</t>
  </si>
  <si>
    <t xml:space="preserve">J. Leadership Attention</t>
  </si>
  <si>
    <t xml:space="preserve">Reserved for items that ONLY leadership can unblock. Keep this section lean — if everything is here, nothing will be actioned.</t>
  </si>
  <si>
    <t xml:space="preserve">K. Dependencies</t>
  </si>
  <si>
    <t xml:space="preserve">Cross-programme and external dependencies only. Internal delivery tasks belong in the project plan.</t>
  </si>
  <si>
    <t xml:space="preserve">L. Period Highlights</t>
  </si>
  <si>
    <t xml:space="preserve">Narrative close-out of the period. Write this last; it should flow naturally from the sections above.</t>
  </si>
  <si>
    <t xml:space="preserve">REPORTING CADENCE</t>
  </si>
  <si>
    <t xml:space="preserve">Recommended</t>
  </si>
  <si>
    <t xml:space="preserve">Update Programme Detail weekly; refresh Portfolio Summary fortnightly or per governance cycle.</t>
  </si>
  <si>
    <t xml:space="preserve">Archiving</t>
  </si>
  <si>
    <t xml:space="preserve">Save a dated copy (e.g. PortfolioHealth_2025-Q2-W14.xlsx) at each reporting cycle end for trend analysis.</t>
  </si>
  <si>
    <t xml:space="preserve">DO's AND DON'Ts</t>
  </si>
  <si>
    <t xml:space="preserve">✔  DO</t>
  </si>
  <si>
    <t xml:space="preserve">Be factual. Use specific numbers, dates, and named owners. One owner per action/risk.</t>
  </si>
  <si>
    <t xml:space="preserve">Surface bad news early. An Amber raised at the right time prevents a Red.</t>
  </si>
  <si>
    <t xml:space="preserve">✗  DON'T</t>
  </si>
  <si>
    <t xml:space="preserve">Leave RAG as G by default. Challenge yourself: is it genuinely on track?</t>
  </si>
  <si>
    <t xml:space="preserve">Use 'TBC' as an owner. Every item must have a named accountable person.</t>
  </si>
  <si>
    <t xml:space="preserve">Copy forward stale risks/actions without reviewing. A resolved risk should be closed, not carried.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</si>
</sst>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dd\-mmm\-yyyy"/>
    <numFmt numFmtId="168" formatCode="0;\(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7F7F7F"/>
      <name val="Arial"/>
      <family val="0"/>
      <charset val="1"/>
    </font>
    <font>
      <i val="true"/>
      <sz val="8"/>
      <color rgb="FF7F7F7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A9C"/>
      </patternFill>
    </fill>
    <fill>
      <patternFill patternType="solid">
        <fgColor rgb="FFD6E4F0"/>
        <bgColor rgb="FFD5F5E3"/>
      </patternFill>
    </fill>
    <fill>
      <patternFill patternType="solid">
        <fgColor rgb="FFFFFFFF"/>
        <bgColor rgb="FFF2F2F2"/>
      </patternFill>
    </fill>
    <fill>
      <patternFill patternType="solid">
        <fgColor rgb="FFD5F5E3"/>
        <bgColor rgb="FFCCFFFF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F2F2F2"/>
        <bgColor rgb="FFFFFFFF"/>
      </patternFill>
    </fill>
    <fill>
      <patternFill patternType="solid">
        <fgColor rgb="FF2E5A9C"/>
        <bgColor rgb="FF0066CC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1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DEBD0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99"/>
      <rgbColor rgb="FFC9A84C"/>
      <rgbColor rgb="FF1F3864"/>
      <rgbColor rgb="FF1E8449"/>
      <rgbColor rgb="FF003300"/>
      <rgbColor rgb="FF333300"/>
      <rgbColor rgb="FFC0392B"/>
      <rgbColor rgb="FF993366"/>
      <rgbColor rgb="FF2E5A9C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28"/>
    <col collapsed="false" customWidth="true" hidden="false" outlineLevel="0" max="16" min="16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</row>
    <row r="4" customFormat="false" ht="19.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4"/>
      <c r="J4" s="4"/>
      <c r="K4" s="4"/>
      <c r="L4" s="4"/>
      <c r="M4" s="4"/>
      <c r="N4" s="4"/>
      <c r="O4" s="4"/>
      <c r="P4" s="4"/>
    </row>
    <row r="5" customFormat="false" ht="19.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4"/>
      <c r="J5" s="4"/>
      <c r="K5" s="4"/>
      <c r="L5" s="4"/>
      <c r="M5" s="4"/>
      <c r="N5" s="4"/>
      <c r="O5" s="4"/>
      <c r="P5" s="4"/>
    </row>
    <row r="6" customFormat="false" ht="6" hidden="false" customHeight="true" outlineLevel="0" collapsed="false"/>
    <row r="7" customFormat="false" ht="15" hidden="false" customHeight="false" outlineLevel="0" collapsed="false">
      <c r="A7" s="5" t="s">
        <v>4</v>
      </c>
      <c r="B7" s="5"/>
      <c r="C7" s="5"/>
      <c r="D7" s="6" t="s">
        <v>5</v>
      </c>
      <c r="E7" s="6"/>
      <c r="F7" s="7" t="s">
        <v>6</v>
      </c>
      <c r="G7" s="7"/>
      <c r="H7" s="8" t="s">
        <v>7</v>
      </c>
      <c r="I7" s="8"/>
    </row>
    <row r="8" customFormat="false" ht="36" hidden="false" customHeight="true" outlineLevel="0" collapsed="false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  <c r="M8" s="9" t="s">
        <v>20</v>
      </c>
      <c r="N8" s="9" t="s">
        <v>21</v>
      </c>
      <c r="O8" s="9" t="s">
        <v>22</v>
      </c>
      <c r="P8" s="9" t="s">
        <v>23</v>
      </c>
    </row>
    <row r="9" customFormat="false" ht="30" hidden="false" customHeight="true" outlineLevel="0" collapsed="false">
      <c r="A9" s="10"/>
      <c r="B9" s="10"/>
      <c r="C9" s="11"/>
      <c r="D9" s="11"/>
      <c r="E9" s="11"/>
      <c r="F9" s="11"/>
      <c r="G9" s="11"/>
      <c r="H9" s="11"/>
      <c r="I9" s="12"/>
      <c r="J9" s="12"/>
      <c r="K9" s="12"/>
      <c r="L9" s="12" t="str">
        <f aca="false">IF(I9&lt;&gt;"",J9-I9,"")</f>
        <v/>
      </c>
      <c r="M9" s="10"/>
      <c r="N9" s="10"/>
      <c r="O9" s="10"/>
      <c r="P9" s="10"/>
    </row>
    <row r="10" customFormat="false" ht="30" hidden="false" customHeight="true" outlineLevel="0" collapsed="false">
      <c r="A10" s="13"/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 t="str">
        <f aca="false">IF(I10&lt;&gt;"",J10-I10,"")</f>
        <v/>
      </c>
      <c r="M10" s="13"/>
      <c r="N10" s="13"/>
      <c r="O10" s="13"/>
      <c r="P10" s="13"/>
    </row>
    <row r="11" customFormat="false" ht="30" hidden="false" customHeight="true" outlineLevel="0" collapsed="false">
      <c r="A11" s="10"/>
      <c r="B11" s="10"/>
      <c r="C11" s="11"/>
      <c r="D11" s="11"/>
      <c r="E11" s="11"/>
      <c r="F11" s="11"/>
      <c r="G11" s="11"/>
      <c r="H11" s="11"/>
      <c r="I11" s="12"/>
      <c r="J11" s="12"/>
      <c r="K11" s="12"/>
      <c r="L11" s="12" t="str">
        <f aca="false">IF(I11&lt;&gt;"",J11-I11,"")</f>
        <v/>
      </c>
      <c r="M11" s="10"/>
      <c r="N11" s="10"/>
      <c r="O11" s="10"/>
      <c r="P11" s="10"/>
    </row>
    <row r="12" customFormat="false" ht="30" hidden="false" customHeight="true" outlineLevel="0" collapsed="false">
      <c r="A12" s="13"/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 t="str">
        <f aca="false">IF(I12&lt;&gt;"",J12-I12,"")</f>
        <v/>
      </c>
      <c r="M12" s="13"/>
      <c r="N12" s="13"/>
      <c r="O12" s="13"/>
      <c r="P12" s="13"/>
    </row>
    <row r="13" customFormat="false" ht="30" hidden="false" customHeight="true" outlineLevel="0" collapsed="false">
      <c r="A13" s="10"/>
      <c r="B13" s="10"/>
      <c r="C13" s="11"/>
      <c r="D13" s="11"/>
      <c r="E13" s="11"/>
      <c r="F13" s="11"/>
      <c r="G13" s="11"/>
      <c r="H13" s="11"/>
      <c r="I13" s="12"/>
      <c r="J13" s="12"/>
      <c r="K13" s="12"/>
      <c r="L13" s="12" t="str">
        <f aca="false">IF(I13&lt;&gt;"",J13-I13,"")</f>
        <v/>
      </c>
      <c r="M13" s="10"/>
      <c r="N13" s="10"/>
      <c r="O13" s="10"/>
      <c r="P13" s="10"/>
    </row>
    <row r="14" customFormat="false" ht="30" hidden="false" customHeight="true" outlineLevel="0" collapsed="false">
      <c r="A14" s="13"/>
      <c r="B14" s="13"/>
      <c r="C14" s="14"/>
      <c r="D14" s="14"/>
      <c r="E14" s="14"/>
      <c r="F14" s="14"/>
      <c r="G14" s="14"/>
      <c r="H14" s="14"/>
      <c r="I14" s="15"/>
      <c r="J14" s="15"/>
      <c r="K14" s="15"/>
      <c r="L14" s="15" t="str">
        <f aca="false">IF(I14&lt;&gt;"",J14-I14,"")</f>
        <v/>
      </c>
      <c r="M14" s="13"/>
      <c r="N14" s="13"/>
      <c r="O14" s="13"/>
      <c r="P14" s="13"/>
    </row>
    <row r="15" customFormat="false" ht="30" hidden="false" customHeight="true" outlineLevel="0" collapsed="false">
      <c r="A15" s="10"/>
      <c r="B15" s="10"/>
      <c r="C15" s="11"/>
      <c r="D15" s="11"/>
      <c r="E15" s="11"/>
      <c r="F15" s="11"/>
      <c r="G15" s="11"/>
      <c r="H15" s="11"/>
      <c r="I15" s="12"/>
      <c r="J15" s="12"/>
      <c r="K15" s="12"/>
      <c r="L15" s="12" t="str">
        <f aca="false">IF(I15&lt;&gt;"",J15-I15,"")</f>
        <v/>
      </c>
      <c r="M15" s="10"/>
      <c r="N15" s="10"/>
      <c r="O15" s="10"/>
      <c r="P15" s="10"/>
    </row>
    <row r="16" customFormat="false" ht="30" hidden="false" customHeight="true" outlineLevel="0" collapsed="false">
      <c r="A16" s="13"/>
      <c r="B16" s="13"/>
      <c r="C16" s="14"/>
      <c r="D16" s="14"/>
      <c r="E16" s="14"/>
      <c r="F16" s="14"/>
      <c r="G16" s="14"/>
      <c r="H16" s="14"/>
      <c r="I16" s="15"/>
      <c r="J16" s="15"/>
      <c r="K16" s="15"/>
      <c r="L16" s="15" t="str">
        <f aca="false">IF(I16&lt;&gt;"",J16-I16,"")</f>
        <v/>
      </c>
      <c r="M16" s="13"/>
      <c r="N16" s="13"/>
      <c r="O16" s="13"/>
      <c r="P16" s="13"/>
    </row>
    <row r="17" customFormat="false" ht="30" hidden="false" customHeight="true" outlineLevel="0" collapsed="false">
      <c r="A17" s="10"/>
      <c r="B17" s="10"/>
      <c r="C17" s="11"/>
      <c r="D17" s="11"/>
      <c r="E17" s="11"/>
      <c r="F17" s="11"/>
      <c r="G17" s="11"/>
      <c r="H17" s="11"/>
      <c r="I17" s="12"/>
      <c r="J17" s="12"/>
      <c r="K17" s="12"/>
      <c r="L17" s="12" t="str">
        <f aca="false">IF(I17&lt;&gt;"",J17-I17,"")</f>
        <v/>
      </c>
      <c r="M17" s="10"/>
      <c r="N17" s="10"/>
      <c r="O17" s="10"/>
      <c r="P17" s="10"/>
    </row>
    <row r="18" customFormat="false" ht="30" hidden="false" customHeight="true" outlineLevel="0" collapsed="false">
      <c r="A18" s="13"/>
      <c r="B18" s="13"/>
      <c r="C18" s="14"/>
      <c r="D18" s="14"/>
      <c r="E18" s="14"/>
      <c r="F18" s="14"/>
      <c r="G18" s="14"/>
      <c r="H18" s="14"/>
      <c r="I18" s="15"/>
      <c r="J18" s="15"/>
      <c r="K18" s="15"/>
      <c r="L18" s="15" t="str">
        <f aca="false">IF(I18&lt;&gt;"",J18-I18,"")</f>
        <v/>
      </c>
      <c r="M18" s="13"/>
      <c r="N18" s="13"/>
      <c r="O18" s="13"/>
      <c r="P18" s="13"/>
    </row>
    <row r="19" customFormat="false" ht="30" hidden="false" customHeight="true" outlineLevel="0" collapsed="false">
      <c r="A19" s="16" t="s">
        <v>24</v>
      </c>
      <c r="B19" s="16"/>
      <c r="C19" s="16"/>
      <c r="D19" s="16"/>
      <c r="E19" s="16"/>
      <c r="F19" s="16"/>
      <c r="G19" s="16"/>
      <c r="H19" s="16"/>
      <c r="I19" s="17" t="n">
        <f aca="false">SUM(I9:I18)</f>
        <v>0</v>
      </c>
      <c r="J19" s="17" t="n">
        <f aca="false">SUM(J9:J18)</f>
        <v>0</v>
      </c>
      <c r="K19" s="17" t="n">
        <f aca="false">SUM(K9:K18)</f>
        <v>0</v>
      </c>
      <c r="L19" s="17" t="n">
        <f aca="false">SUM(L9:L18)</f>
        <v>0</v>
      </c>
    </row>
  </sheetData>
  <mergeCells count="12">
    <mergeCell ref="A1:P2"/>
    <mergeCell ref="A3:H3"/>
    <mergeCell ref="I3:P3"/>
    <mergeCell ref="A4:H4"/>
    <mergeCell ref="I4:P4"/>
    <mergeCell ref="A5:H5"/>
    <mergeCell ref="I5:P5"/>
    <mergeCell ref="A7:C7"/>
    <mergeCell ref="D7:E7"/>
    <mergeCell ref="F7:G7"/>
    <mergeCell ref="H7:I7"/>
    <mergeCell ref="A19:H19"/>
  </mergeCells>
  <conditionalFormatting sqref="C9:C18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"G"</formula>
    </cfRule>
  </conditionalFormatting>
  <conditionalFormatting sqref="D9:D18">
    <cfRule type="cellIs" priority="5" operator="equal" aboveAverage="0" equalAverage="0" bottom="0" percent="0" rank="0" text="" dxfId="0">
      <formula>"R"</formula>
    </cfRule>
    <cfRule type="cellIs" priority="6" operator="equal" aboveAverage="0" equalAverage="0" bottom="0" percent="0" rank="0" text="" dxfId="1">
      <formula>"A"</formula>
    </cfRule>
    <cfRule type="cellIs" priority="7" operator="equal" aboveAverage="0" equalAverage="0" bottom="0" percent="0" rank="0" text="" dxfId="2">
      <formula>"G"</formula>
    </cfRule>
  </conditionalFormatting>
  <conditionalFormatting sqref="E9:E18">
    <cfRule type="cellIs" priority="8" operator="equal" aboveAverage="0" equalAverage="0" bottom="0" percent="0" rank="0" text="" dxfId="0">
      <formula>"R"</formula>
    </cfRule>
    <cfRule type="cellIs" priority="9" operator="equal" aboveAverage="0" equalAverage="0" bottom="0" percent="0" rank="0" text="" dxfId="1">
      <formula>"A"</formula>
    </cfRule>
    <cfRule type="cellIs" priority="10" operator="equal" aboveAverage="0" equalAverage="0" bottom="0" percent="0" rank="0" text="" dxfId="2">
      <formula>"G"</formula>
    </cfRule>
  </conditionalFormatting>
  <conditionalFormatting sqref="F9:F18">
    <cfRule type="cellIs" priority="11" operator="equal" aboveAverage="0" equalAverage="0" bottom="0" percent="0" rank="0" text="" dxfId="0">
      <formula>"R"</formula>
    </cfRule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2">
      <formula>"G"</formula>
    </cfRule>
  </conditionalFormatting>
  <conditionalFormatting sqref="G9:G18">
    <cfRule type="cellIs" priority="14" operator="equal" aboveAverage="0" equalAverage="0" bottom="0" percent="0" rank="0" text="" dxfId="0">
      <formula>"R"</formula>
    </cfRule>
    <cfRule type="cellIs" priority="15" operator="equal" aboveAverage="0" equalAverage="0" bottom="0" percent="0" rank="0" text="" dxfId="1">
      <formula>"A"</formula>
    </cfRule>
    <cfRule type="cellIs" priority="16" operator="equal" aboveAverage="0" equalAverage="0" bottom="0" percent="0" rank="0" text="" dxfId="2">
      <formula>"G"</formula>
    </cfRule>
  </conditionalFormatting>
  <conditionalFormatting sqref="P9:P18">
    <cfRule type="cellIs" priority="17" operator="equal" aboveAverage="0" equalAverage="0" bottom="0" percent="0" rank="0" text="" dxfId="3">
      <formula>"Yes"</formula>
    </cfRule>
  </conditionalFormatting>
  <dataValidations count="6">
    <dataValidation allowBlank="true" error="Enter R, A or G" errorStyle="stop" errorTitle="Invalid RAG" operator="between" showDropDown="false" showErrorMessage="false" showInputMessage="false" sqref="C9:C18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D9:D18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E9:E18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F9:F18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G9:G18" type="list">
      <formula1>"R,A,G"</formula1>
      <formula2>0</formula2>
    </dataValidation>
    <dataValidation allowBlank="true" errorStyle="stop" operator="between" showDropDown="false" showErrorMessage="false" showInputMessage="false" sqref="P9:P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9C"/>
    <pageSetUpPr fitToPage="false"/>
  </sheetPr>
  <dimension ref="A1:L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2" min="10" style="0" width="20"/>
  </cols>
  <sheetData>
    <row r="1" customFormat="false" ht="30" hidden="false" customHeight="true" outlineLevel="0" collapsed="false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21.75" hidden="false" customHeight="true" outlineLevel="0" collapsed="false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19.5" hidden="false" customHeight="true" outlineLevel="0" collapsed="false">
      <c r="B3" s="20" t="s">
        <v>27</v>
      </c>
      <c r="C3" s="21"/>
      <c r="D3" s="21"/>
      <c r="E3" s="21"/>
      <c r="F3" s="20" t="s">
        <v>28</v>
      </c>
      <c r="G3" s="21"/>
      <c r="H3" s="21"/>
      <c r="I3" s="21"/>
    </row>
    <row r="4" customFormat="false" ht="19.5" hidden="false" customHeight="true" outlineLevel="0" collapsed="false">
      <c r="B4" s="20" t="s">
        <v>29</v>
      </c>
      <c r="C4" s="21"/>
      <c r="D4" s="21"/>
      <c r="E4" s="21"/>
      <c r="F4" s="20" t="s">
        <v>2</v>
      </c>
      <c r="G4" s="21"/>
      <c r="H4" s="21"/>
      <c r="I4" s="21"/>
    </row>
    <row r="5" customFormat="false" ht="19.5" hidden="false" customHeight="true" outlineLevel="0" collapsed="false">
      <c r="B5" s="20" t="s">
        <v>30</v>
      </c>
      <c r="C5" s="22"/>
      <c r="D5" s="20" t="s">
        <v>31</v>
      </c>
      <c r="E5" s="22"/>
      <c r="F5" s="20" t="s">
        <v>32</v>
      </c>
      <c r="G5" s="22"/>
      <c r="H5" s="20" t="s">
        <v>3</v>
      </c>
      <c r="I5" s="22"/>
    </row>
    <row r="6" customFormat="false" ht="19.5" hidden="false" customHeight="true" outlineLevel="0" collapsed="false">
      <c r="B6" s="20" t="s">
        <v>33</v>
      </c>
      <c r="C6" s="22"/>
      <c r="D6" s="20" t="s">
        <v>34</v>
      </c>
      <c r="E6" s="22"/>
      <c r="F6" s="20" t="s">
        <v>35</v>
      </c>
      <c r="G6" s="22"/>
      <c r="H6" s="20" t="s">
        <v>36</v>
      </c>
      <c r="I6" s="22"/>
    </row>
    <row r="7" customFormat="false" ht="21.75" hidden="false" customHeight="true" outlineLevel="0" collapsed="false">
      <c r="A7" s="23" t="s">
        <v>37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customFormat="false" ht="30" hidden="false" customHeight="true" outlineLevel="0" collapsed="false">
      <c r="B8" s="24" t="s">
        <v>38</v>
      </c>
      <c r="C8" s="9" t="s">
        <v>39</v>
      </c>
      <c r="D8" s="9" t="s">
        <v>40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45</v>
      </c>
      <c r="J8" s="9" t="s">
        <v>46</v>
      </c>
    </row>
    <row r="9" customFormat="false" ht="19.5" hidden="false" customHeight="true" outlineLevel="0" collapsed="false">
      <c r="B9" s="20" t="s">
        <v>47</v>
      </c>
      <c r="C9" s="25"/>
      <c r="D9" s="25"/>
      <c r="E9" s="25"/>
      <c r="F9" s="25"/>
      <c r="G9" s="25"/>
      <c r="H9" s="25"/>
      <c r="I9" s="25"/>
      <c r="J9" s="25"/>
    </row>
    <row r="10" customFormat="false" ht="19.5" hidden="false" customHeight="true" outlineLevel="0" collapsed="false">
      <c r="B10" s="20" t="s">
        <v>48</v>
      </c>
      <c r="C10" s="25"/>
      <c r="D10" s="25"/>
      <c r="E10" s="25"/>
      <c r="F10" s="25"/>
      <c r="G10" s="25"/>
      <c r="H10" s="25"/>
      <c r="I10" s="25"/>
      <c r="J10" s="25"/>
    </row>
    <row r="11" customFormat="false" ht="19.5" hidden="false" customHeight="true" outlineLevel="0" collapsed="false">
      <c r="B11" s="20" t="s">
        <v>49</v>
      </c>
      <c r="C11" s="25"/>
      <c r="D11" s="25"/>
      <c r="E11" s="25"/>
      <c r="F11" s="25"/>
      <c r="G11" s="25"/>
      <c r="H11" s="25"/>
      <c r="I11" s="25"/>
      <c r="J11" s="25"/>
    </row>
    <row r="12" customFormat="false" ht="21.75" hidden="false" customHeight="true" outlineLevel="0" collapsed="false">
      <c r="A12" s="23" t="s">
        <v>50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customFormat="false" ht="19.5" hidden="false" customHeight="true" outlineLevel="0" collapsed="false">
      <c r="B13" s="26" t="s">
        <v>51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customFormat="false" ht="19.5" hidden="false" customHeight="true" outlineLevel="0" collapsed="false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customFormat="false" ht="19.5" hidden="false" customHeight="true" outlineLevel="0" collapsed="false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customFormat="false" ht="21.75" hidden="false" customHeight="true" outlineLevel="0" collapsed="false">
      <c r="A16" s="23" t="s">
        <v>52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customFormat="false" ht="30" hidden="false" customHeight="true" outlineLevel="0" collapsed="false">
      <c r="B17" s="9" t="s">
        <v>53</v>
      </c>
      <c r="C17" s="9" t="s">
        <v>54</v>
      </c>
      <c r="D17" s="9" t="s">
        <v>55</v>
      </c>
      <c r="E17" s="9" t="s">
        <v>56</v>
      </c>
      <c r="F17" s="9" t="s">
        <v>18</v>
      </c>
      <c r="G17" s="9" t="s">
        <v>57</v>
      </c>
      <c r="H17" s="9" t="s">
        <v>58</v>
      </c>
      <c r="I17" s="9" t="s">
        <v>59</v>
      </c>
      <c r="J17" s="9" t="s">
        <v>60</v>
      </c>
      <c r="K17" s="9" t="s">
        <v>61</v>
      </c>
    </row>
    <row r="18" customFormat="false" ht="19.5" hidden="false" customHeight="true" outlineLevel="0" collapsed="false">
      <c r="B18" s="27" t="s">
        <v>62</v>
      </c>
      <c r="C18" s="28"/>
      <c r="D18" s="28"/>
      <c r="E18" s="28"/>
      <c r="F18" s="28"/>
      <c r="G18" s="28" t="str">
        <f aca="false">IF(C18&lt;&gt;"",E18-C18,"")</f>
        <v/>
      </c>
      <c r="H18" s="29" t="str">
        <f aca="false">IFERROR(D18/C18,"-")</f>
        <v>-</v>
      </c>
      <c r="I18" s="28"/>
      <c r="K18" s="30"/>
    </row>
    <row r="19" customFormat="false" ht="19.5" hidden="false" customHeight="true" outlineLevel="0" collapsed="false">
      <c r="B19" s="31" t="s">
        <v>63</v>
      </c>
      <c r="C19" s="32"/>
      <c r="D19" s="32"/>
      <c r="E19" s="32"/>
      <c r="F19" s="32"/>
      <c r="G19" s="32" t="str">
        <f aca="false">IF(C19&lt;&gt;"",E19-C19,"")</f>
        <v/>
      </c>
      <c r="H19" s="33" t="str">
        <f aca="false">IFERROR(D19/C19,"-")</f>
        <v>-</v>
      </c>
      <c r="I19" s="32"/>
      <c r="K19" s="22"/>
    </row>
    <row r="20" customFormat="false" ht="19.5" hidden="false" customHeight="true" outlineLevel="0" collapsed="false">
      <c r="B20" s="27" t="s">
        <v>64</v>
      </c>
      <c r="C20" s="28"/>
      <c r="D20" s="28"/>
      <c r="E20" s="28"/>
      <c r="F20" s="28"/>
      <c r="G20" s="28" t="str">
        <f aca="false">IF(C20&lt;&gt;"",E20-C20,"")</f>
        <v/>
      </c>
      <c r="H20" s="29" t="str">
        <f aca="false">IFERROR(D20/C20,"-")</f>
        <v>-</v>
      </c>
      <c r="I20" s="28"/>
      <c r="K20" s="30"/>
    </row>
    <row r="21" customFormat="false" ht="19.5" hidden="false" customHeight="true" outlineLevel="0" collapsed="false">
      <c r="B21" s="31" t="s">
        <v>65</v>
      </c>
      <c r="C21" s="32"/>
      <c r="D21" s="32"/>
      <c r="E21" s="32"/>
      <c r="F21" s="32"/>
      <c r="G21" s="32" t="str">
        <f aca="false">IF(C21&lt;&gt;"",E21-C21,"")</f>
        <v/>
      </c>
      <c r="H21" s="33" t="str">
        <f aca="false">IFERROR(D21/C21,"-")</f>
        <v>-</v>
      </c>
      <c r="I21" s="32"/>
      <c r="K21" s="22"/>
    </row>
    <row r="22" customFormat="false" ht="19.5" hidden="false" customHeight="true" outlineLevel="0" collapsed="false">
      <c r="B22" s="27" t="s">
        <v>66</v>
      </c>
      <c r="C22" s="28"/>
      <c r="D22" s="28"/>
      <c r="E22" s="28"/>
      <c r="F22" s="28"/>
      <c r="G22" s="28" t="str">
        <f aca="false">IF(C22&lt;&gt;"",E22-C22,"")</f>
        <v/>
      </c>
      <c r="H22" s="29" t="str">
        <f aca="false">IFERROR(D22/C22,"-")</f>
        <v>-</v>
      </c>
      <c r="I22" s="28"/>
      <c r="K22" s="30"/>
    </row>
    <row r="23" customFormat="false" ht="19.5" hidden="false" customHeight="true" outlineLevel="0" collapsed="false">
      <c r="B23" s="34" t="s">
        <v>67</v>
      </c>
      <c r="C23" s="17" t="n">
        <f aca="false">SUM(C18:C22)</f>
        <v>0</v>
      </c>
      <c r="D23" s="17" t="n">
        <f aca="false">SUM(D18:D22)</f>
        <v>0</v>
      </c>
      <c r="E23" s="17" t="n">
        <f aca="false">SUM(E18:E22)</f>
        <v>0</v>
      </c>
      <c r="F23" s="17" t="n">
        <f aca="false">SUM(F18:F22)</f>
        <v>0</v>
      </c>
      <c r="G23" s="17" t="n">
        <f aca="false">IF(C23&lt;&gt;"",E23-C23,"")</f>
        <v>0</v>
      </c>
      <c r="H23" s="35" t="str">
        <f aca="false">IFERROR(D23/C23,"-")</f>
        <v>-</v>
      </c>
      <c r="I23" s="17" t="n">
        <f aca="false">SUM(I18:I22)</f>
        <v>0</v>
      </c>
      <c r="K23" s="36"/>
    </row>
    <row r="24" customFormat="false" ht="19.5" hidden="false" customHeight="true" outlineLevel="0" collapsed="false">
      <c r="B24" s="37" t="s">
        <v>68</v>
      </c>
      <c r="C24" s="37"/>
      <c r="D24" s="37"/>
      <c r="E24" s="37"/>
      <c r="F24" s="38"/>
      <c r="G24" s="38"/>
    </row>
    <row r="25" customFormat="false" ht="21.75" hidden="false" customHeight="true" outlineLevel="0" collapsed="false">
      <c r="A25" s="23" t="s">
        <v>69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30" hidden="false" customHeight="true" outlineLevel="0" collapsed="false">
      <c r="B26" s="9" t="s">
        <v>70</v>
      </c>
      <c r="C26" s="9" t="s">
        <v>71</v>
      </c>
      <c r="D26" s="9" t="s">
        <v>72</v>
      </c>
      <c r="E26" s="9" t="s">
        <v>73</v>
      </c>
      <c r="F26" s="9" t="s">
        <v>74</v>
      </c>
      <c r="G26" s="9" t="s">
        <v>75</v>
      </c>
      <c r="H26" s="9" t="s">
        <v>76</v>
      </c>
      <c r="I26" s="9" t="s">
        <v>77</v>
      </c>
      <c r="J26" s="9" t="s">
        <v>78</v>
      </c>
      <c r="K26" s="9" t="s">
        <v>79</v>
      </c>
    </row>
    <row r="27" customFormat="false" ht="21.75" hidden="false" customHeight="true" outlineLevel="0" collapsed="false">
      <c r="B27" s="39" t="n">
        <v>1</v>
      </c>
      <c r="C27" s="10"/>
      <c r="D27" s="10"/>
      <c r="E27" s="40"/>
      <c r="F27" s="40"/>
      <c r="G27" s="41"/>
      <c r="H27" s="42"/>
      <c r="I27" s="10"/>
      <c r="J27" s="43" t="str">
        <f aca="false">IFERROR(IF(F27&lt;&gt;"",F27-E27,""),"")</f>
        <v/>
      </c>
      <c r="K27" s="10"/>
    </row>
    <row r="28" customFormat="false" ht="21.75" hidden="false" customHeight="true" outlineLevel="0" collapsed="false">
      <c r="B28" s="44" t="n">
        <v>2</v>
      </c>
      <c r="C28" s="13"/>
      <c r="D28" s="13"/>
      <c r="E28" s="45"/>
      <c r="F28" s="45"/>
      <c r="G28" s="46"/>
      <c r="H28" s="47"/>
      <c r="I28" s="13"/>
      <c r="J28" s="48" t="str">
        <f aca="false">IFERROR(IF(F28&lt;&gt;"",F28-E28,""),"")</f>
        <v/>
      </c>
      <c r="K28" s="13"/>
    </row>
    <row r="29" customFormat="false" ht="21.75" hidden="false" customHeight="true" outlineLevel="0" collapsed="false">
      <c r="B29" s="39" t="n">
        <v>3</v>
      </c>
      <c r="C29" s="10"/>
      <c r="D29" s="10"/>
      <c r="E29" s="40"/>
      <c r="F29" s="40"/>
      <c r="G29" s="41"/>
      <c r="H29" s="42"/>
      <c r="I29" s="10"/>
      <c r="J29" s="43" t="str">
        <f aca="false">IFERROR(IF(F29&lt;&gt;"",F29-E29,""),"")</f>
        <v/>
      </c>
      <c r="K29" s="10"/>
    </row>
    <row r="30" customFormat="false" ht="21.75" hidden="false" customHeight="true" outlineLevel="0" collapsed="false">
      <c r="B30" s="44" t="n">
        <v>4</v>
      </c>
      <c r="C30" s="13"/>
      <c r="D30" s="13"/>
      <c r="E30" s="45"/>
      <c r="F30" s="45"/>
      <c r="G30" s="46"/>
      <c r="H30" s="47"/>
      <c r="I30" s="13"/>
      <c r="J30" s="48" t="str">
        <f aca="false">IFERROR(IF(F30&lt;&gt;"",F30-E30,""),"")</f>
        <v/>
      </c>
      <c r="K30" s="13"/>
    </row>
    <row r="31" customFormat="false" ht="21.75" hidden="false" customHeight="true" outlineLevel="0" collapsed="false">
      <c r="B31" s="39" t="n">
        <v>5</v>
      </c>
      <c r="C31" s="10"/>
      <c r="D31" s="10"/>
      <c r="E31" s="40"/>
      <c r="F31" s="40"/>
      <c r="G31" s="41"/>
      <c r="H31" s="42"/>
      <c r="I31" s="10"/>
      <c r="J31" s="43" t="str">
        <f aca="false">IFERROR(IF(F31&lt;&gt;"",F31-E31,""),"")</f>
        <v/>
      </c>
      <c r="K31" s="10"/>
    </row>
    <row r="32" customFormat="false" ht="21.75" hidden="false" customHeight="true" outlineLevel="0" collapsed="false">
      <c r="B32" s="44" t="n">
        <v>6</v>
      </c>
      <c r="C32" s="13"/>
      <c r="D32" s="13"/>
      <c r="E32" s="45"/>
      <c r="F32" s="45"/>
      <c r="G32" s="46"/>
      <c r="H32" s="47"/>
      <c r="I32" s="13"/>
      <c r="J32" s="48" t="str">
        <f aca="false">IFERROR(IF(F32&lt;&gt;"",F32-E32,""),"")</f>
        <v/>
      </c>
      <c r="K32" s="13"/>
    </row>
    <row r="33" customFormat="false" ht="21.75" hidden="false" customHeight="true" outlineLevel="0" collapsed="false">
      <c r="B33" s="39" t="n">
        <v>7</v>
      </c>
      <c r="C33" s="10"/>
      <c r="D33" s="10"/>
      <c r="E33" s="40"/>
      <c r="F33" s="40"/>
      <c r="G33" s="41"/>
      <c r="H33" s="42"/>
      <c r="I33" s="10"/>
      <c r="J33" s="43" t="str">
        <f aca="false">IFERROR(IF(F33&lt;&gt;"",F33-E33,""),"")</f>
        <v/>
      </c>
      <c r="K33" s="10"/>
    </row>
    <row r="34" customFormat="false" ht="21.75" hidden="false" customHeight="true" outlineLevel="0" collapsed="false">
      <c r="B34" s="44" t="n">
        <v>8</v>
      </c>
      <c r="C34" s="13"/>
      <c r="D34" s="13"/>
      <c r="E34" s="45"/>
      <c r="F34" s="45"/>
      <c r="G34" s="46"/>
      <c r="H34" s="47"/>
      <c r="I34" s="13"/>
      <c r="J34" s="48" t="str">
        <f aca="false">IFERROR(IF(F34&lt;&gt;"",F34-E34,""),"")</f>
        <v/>
      </c>
      <c r="K34" s="13"/>
    </row>
    <row r="35" customFormat="false" ht="21.75" hidden="false" customHeight="true" outlineLevel="0" collapsed="false">
      <c r="B35" s="39" t="n">
        <v>9</v>
      </c>
      <c r="C35" s="10"/>
      <c r="D35" s="10"/>
      <c r="E35" s="40"/>
      <c r="F35" s="40"/>
      <c r="G35" s="41"/>
      <c r="H35" s="42"/>
      <c r="I35" s="10"/>
      <c r="J35" s="43" t="str">
        <f aca="false">IFERROR(IF(F35&lt;&gt;"",F35-E35,""),"")</f>
        <v/>
      </c>
      <c r="K35" s="10"/>
    </row>
    <row r="36" customFormat="false" ht="21.75" hidden="false" customHeight="true" outlineLevel="0" collapsed="false">
      <c r="B36" s="44" t="n">
        <v>10</v>
      </c>
      <c r="C36" s="13"/>
      <c r="D36" s="13"/>
      <c r="E36" s="45"/>
      <c r="F36" s="45"/>
      <c r="G36" s="46"/>
      <c r="H36" s="47"/>
      <c r="I36" s="13"/>
      <c r="J36" s="48" t="str">
        <f aca="false">IFERROR(IF(F36&lt;&gt;"",F36-E36,""),"")</f>
        <v/>
      </c>
      <c r="K36" s="13"/>
    </row>
    <row r="37" customFormat="false" ht="21.75" hidden="false" customHeight="true" outlineLevel="0" collapsed="false">
      <c r="A37" s="23" t="s">
        <v>80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customFormat="false" ht="36" hidden="false" customHeight="true" outlineLevel="0" collapsed="false">
      <c r="B38" s="49" t="s">
        <v>70</v>
      </c>
      <c r="C38" s="49" t="s">
        <v>81</v>
      </c>
      <c r="D38" s="49" t="s">
        <v>82</v>
      </c>
      <c r="E38" s="49" t="s">
        <v>83</v>
      </c>
      <c r="F38" s="49" t="s">
        <v>84</v>
      </c>
      <c r="G38" s="49" t="s">
        <v>85</v>
      </c>
      <c r="H38" s="49" t="s">
        <v>86</v>
      </c>
      <c r="I38" s="49" t="s">
        <v>72</v>
      </c>
      <c r="J38" s="49" t="s">
        <v>87</v>
      </c>
      <c r="K38" s="49" t="s">
        <v>77</v>
      </c>
      <c r="L38" s="49" t="s">
        <v>88</v>
      </c>
    </row>
    <row r="39" customFormat="false" ht="30" hidden="false" customHeight="true" outlineLevel="0" collapsed="false">
      <c r="B39" s="39" t="n">
        <v>1</v>
      </c>
      <c r="C39" s="10"/>
      <c r="D39" s="10"/>
      <c r="E39" s="42"/>
      <c r="F39" s="42"/>
      <c r="G39" s="25" t="str">
        <f aca="false">IFERROR(CHOOSE(MATCH(E39&amp;F39,{"HH","HM","HL","MH","MM","ML","LH","LM","LL"},0),"Critical","High","Medium","High","Medium","Low","Medium","Low","Low"),"")</f>
        <v/>
      </c>
      <c r="H39" s="10"/>
      <c r="I39" s="10"/>
      <c r="J39" s="40"/>
      <c r="K39" s="42"/>
      <c r="L39" s="42"/>
    </row>
    <row r="40" customFormat="false" ht="30" hidden="false" customHeight="true" outlineLevel="0" collapsed="false">
      <c r="B40" s="44" t="n">
        <v>2</v>
      </c>
      <c r="C40" s="13"/>
      <c r="D40" s="13"/>
      <c r="E40" s="47"/>
      <c r="F40" s="47"/>
      <c r="G40" s="50" t="str">
        <f aca="false">IFERROR(CHOOSE(MATCH(E40&amp;F40,{"HH","HM","HL","MH","MM","ML","LH","LM","LL"},0),"Critical","High","Medium","High","Medium","Low","Medium","Low","Low"),"")</f>
        <v/>
      </c>
      <c r="H40" s="13"/>
      <c r="I40" s="13"/>
      <c r="J40" s="45"/>
      <c r="K40" s="47"/>
      <c r="L40" s="47"/>
    </row>
    <row r="41" customFormat="false" ht="30" hidden="false" customHeight="true" outlineLevel="0" collapsed="false">
      <c r="B41" s="39" t="n">
        <v>3</v>
      </c>
      <c r="C41" s="10"/>
      <c r="D41" s="10"/>
      <c r="E41" s="42"/>
      <c r="F41" s="42"/>
      <c r="G41" s="25" t="str">
        <f aca="false">IFERROR(CHOOSE(MATCH(E41&amp;F41,{"HH","HM","HL","MH","MM","ML","LH","LM","LL"},0),"Critical","High","Medium","High","Medium","Low","Medium","Low","Low"),"")</f>
        <v/>
      </c>
      <c r="H41" s="10"/>
      <c r="I41" s="10"/>
      <c r="J41" s="40"/>
      <c r="K41" s="42"/>
      <c r="L41" s="42"/>
    </row>
    <row r="42" customFormat="false" ht="30" hidden="false" customHeight="true" outlineLevel="0" collapsed="false">
      <c r="B42" s="44" t="n">
        <v>4</v>
      </c>
      <c r="C42" s="13"/>
      <c r="D42" s="13"/>
      <c r="E42" s="47"/>
      <c r="F42" s="47"/>
      <c r="G42" s="50" t="str">
        <f aca="false">IFERROR(CHOOSE(MATCH(E42&amp;F42,{"HH","HM","HL","MH","MM","ML","LH","LM","LL"},0),"Critical","High","Medium","High","Medium","Low","Medium","Low","Low"),"")</f>
        <v/>
      </c>
      <c r="H42" s="13"/>
      <c r="I42" s="13"/>
      <c r="J42" s="45"/>
      <c r="K42" s="47"/>
      <c r="L42" s="47"/>
    </row>
    <row r="43" customFormat="false" ht="30" hidden="false" customHeight="true" outlineLevel="0" collapsed="false">
      <c r="B43" s="39" t="n">
        <v>5</v>
      </c>
      <c r="C43" s="10"/>
      <c r="D43" s="10"/>
      <c r="E43" s="42"/>
      <c r="F43" s="42"/>
      <c r="G43" s="25" t="str">
        <f aca="false">IFERROR(CHOOSE(MATCH(E43&amp;F43,{"HH","HM","HL","MH","MM","ML","LH","LM","LL"},0),"Critical","High","Medium","High","Medium","Low","Medium","Low","Low"),"")</f>
        <v/>
      </c>
      <c r="H43" s="10"/>
      <c r="I43" s="10"/>
      <c r="J43" s="40"/>
      <c r="K43" s="42"/>
      <c r="L43" s="42"/>
    </row>
    <row r="44" customFormat="false" ht="30" hidden="false" customHeight="true" outlineLevel="0" collapsed="false">
      <c r="B44" s="44" t="n">
        <v>6</v>
      </c>
      <c r="C44" s="13"/>
      <c r="D44" s="13"/>
      <c r="E44" s="47"/>
      <c r="F44" s="47"/>
      <c r="G44" s="50" t="str">
        <f aca="false">IFERROR(CHOOSE(MATCH(E44&amp;F44,{"HH","HM","HL","MH","MM","ML","LH","LM","LL"},0),"Critical","High","Medium","High","Medium","Low","Medium","Low","Low"),"")</f>
        <v/>
      </c>
      <c r="H44" s="13"/>
      <c r="I44" s="13"/>
      <c r="J44" s="45"/>
      <c r="K44" s="47"/>
      <c r="L44" s="47"/>
    </row>
    <row r="45" customFormat="false" ht="30" hidden="false" customHeight="true" outlineLevel="0" collapsed="false">
      <c r="B45" s="39" t="n">
        <v>7</v>
      </c>
      <c r="C45" s="10"/>
      <c r="D45" s="10"/>
      <c r="E45" s="42"/>
      <c r="F45" s="42"/>
      <c r="G45" s="25" t="str">
        <f aca="false">IFERROR(CHOOSE(MATCH(E45&amp;F45,{"HH","HM","HL","MH","MM","ML","LH","LM","LL"},0),"Critical","High","Medium","High","Medium","Low","Medium","Low","Low"),"")</f>
        <v/>
      </c>
      <c r="H45" s="10"/>
      <c r="I45" s="10"/>
      <c r="J45" s="40"/>
      <c r="K45" s="42"/>
      <c r="L45" s="42"/>
    </row>
    <row r="46" customFormat="false" ht="30" hidden="false" customHeight="true" outlineLevel="0" collapsed="false">
      <c r="B46" s="44" t="n">
        <v>8</v>
      </c>
      <c r="C46" s="13"/>
      <c r="D46" s="13"/>
      <c r="E46" s="47"/>
      <c r="F46" s="47"/>
      <c r="G46" s="50" t="str">
        <f aca="false">IFERROR(CHOOSE(MATCH(E46&amp;F46,{"HH","HM","HL","MH","MM","ML","LH","LM","LL"},0),"Critical","High","Medium","High","Medium","Low","Medium","Low","Low"),"")</f>
        <v/>
      </c>
      <c r="H46" s="13"/>
      <c r="I46" s="13"/>
      <c r="J46" s="45"/>
      <c r="K46" s="47"/>
      <c r="L46" s="47"/>
    </row>
    <row r="47" customFormat="false" ht="21.75" hidden="false" customHeight="true" outlineLevel="0" collapsed="false">
      <c r="A47" s="23" t="s">
        <v>89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customFormat="false" ht="36" hidden="false" customHeight="true" outlineLevel="0" collapsed="false">
      <c r="B48" s="51" t="s">
        <v>70</v>
      </c>
      <c r="C48" s="51" t="s">
        <v>90</v>
      </c>
      <c r="D48" s="51" t="s">
        <v>82</v>
      </c>
      <c r="E48" s="51" t="s">
        <v>91</v>
      </c>
      <c r="F48" s="51" t="s">
        <v>92</v>
      </c>
      <c r="G48" s="51" t="s">
        <v>93</v>
      </c>
      <c r="H48" s="51" t="s">
        <v>72</v>
      </c>
      <c r="I48" s="51" t="s">
        <v>94</v>
      </c>
      <c r="J48" s="51" t="s">
        <v>95</v>
      </c>
      <c r="K48" s="51" t="s">
        <v>77</v>
      </c>
      <c r="L48" s="51" t="s">
        <v>76</v>
      </c>
    </row>
    <row r="49" customFormat="false" ht="30" hidden="false" customHeight="true" outlineLevel="0" collapsed="false">
      <c r="B49" s="39" t="n">
        <v>1</v>
      </c>
      <c r="C49" s="10"/>
      <c r="D49" s="10"/>
      <c r="E49" s="42"/>
      <c r="F49" s="10"/>
      <c r="G49" s="10"/>
      <c r="H49" s="10"/>
      <c r="I49" s="40"/>
      <c r="J49" s="40"/>
      <c r="K49" s="42"/>
      <c r="L49" s="42"/>
    </row>
    <row r="50" customFormat="false" ht="30" hidden="false" customHeight="true" outlineLevel="0" collapsed="false">
      <c r="B50" s="44" t="n">
        <v>2</v>
      </c>
      <c r="C50" s="13"/>
      <c r="D50" s="13"/>
      <c r="E50" s="47"/>
      <c r="F50" s="13"/>
      <c r="G50" s="13"/>
      <c r="H50" s="13"/>
      <c r="I50" s="45"/>
      <c r="J50" s="45"/>
      <c r="K50" s="47"/>
      <c r="L50" s="47"/>
    </row>
    <row r="51" customFormat="false" ht="30" hidden="false" customHeight="true" outlineLevel="0" collapsed="false">
      <c r="B51" s="39" t="n">
        <v>3</v>
      </c>
      <c r="C51" s="10"/>
      <c r="D51" s="10"/>
      <c r="E51" s="42"/>
      <c r="F51" s="10"/>
      <c r="G51" s="10"/>
      <c r="H51" s="10"/>
      <c r="I51" s="40"/>
      <c r="J51" s="40"/>
      <c r="K51" s="42"/>
      <c r="L51" s="42"/>
    </row>
    <row r="52" customFormat="false" ht="30" hidden="false" customHeight="true" outlineLevel="0" collapsed="false">
      <c r="B52" s="44" t="n">
        <v>4</v>
      </c>
      <c r="C52" s="13"/>
      <c r="D52" s="13"/>
      <c r="E52" s="47"/>
      <c r="F52" s="13"/>
      <c r="G52" s="13"/>
      <c r="H52" s="13"/>
      <c r="I52" s="45"/>
      <c r="J52" s="45"/>
      <c r="K52" s="47"/>
      <c r="L52" s="47"/>
    </row>
    <row r="53" customFormat="false" ht="30" hidden="false" customHeight="true" outlineLevel="0" collapsed="false">
      <c r="B53" s="39" t="n">
        <v>5</v>
      </c>
      <c r="C53" s="10"/>
      <c r="D53" s="10"/>
      <c r="E53" s="42"/>
      <c r="F53" s="10"/>
      <c r="G53" s="10"/>
      <c r="H53" s="10"/>
      <c r="I53" s="40"/>
      <c r="J53" s="40"/>
      <c r="K53" s="42"/>
      <c r="L53" s="42"/>
    </row>
    <row r="54" customFormat="false" ht="30" hidden="false" customHeight="true" outlineLevel="0" collapsed="false">
      <c r="B54" s="44" t="n">
        <v>6</v>
      </c>
      <c r="C54" s="13"/>
      <c r="D54" s="13"/>
      <c r="E54" s="47"/>
      <c r="F54" s="13"/>
      <c r="G54" s="13"/>
      <c r="H54" s="13"/>
      <c r="I54" s="45"/>
      <c r="J54" s="45"/>
      <c r="K54" s="47"/>
      <c r="L54" s="47"/>
    </row>
    <row r="55" customFormat="false" ht="30" hidden="false" customHeight="true" outlineLevel="0" collapsed="false">
      <c r="B55" s="39" t="n">
        <v>7</v>
      </c>
      <c r="C55" s="10"/>
      <c r="D55" s="10"/>
      <c r="E55" s="42"/>
      <c r="F55" s="10"/>
      <c r="G55" s="10"/>
      <c r="H55" s="10"/>
      <c r="I55" s="40"/>
      <c r="J55" s="40"/>
      <c r="K55" s="42"/>
      <c r="L55" s="42"/>
    </row>
    <row r="56" customFormat="false" ht="30" hidden="false" customHeight="true" outlineLevel="0" collapsed="false">
      <c r="B56" s="44" t="n">
        <v>8</v>
      </c>
      <c r="C56" s="13"/>
      <c r="D56" s="13"/>
      <c r="E56" s="47"/>
      <c r="F56" s="13"/>
      <c r="G56" s="13"/>
      <c r="H56" s="13"/>
      <c r="I56" s="45"/>
      <c r="J56" s="45"/>
      <c r="K56" s="47"/>
      <c r="L56" s="47"/>
    </row>
    <row r="57" customFormat="false" ht="21.75" hidden="false" customHeight="true" outlineLevel="0" collapsed="false">
      <c r="A57" s="23" t="s">
        <v>96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customFormat="false" ht="30" hidden="false" customHeight="true" outlineLevel="0" collapsed="false">
      <c r="B58" s="9" t="s">
        <v>70</v>
      </c>
      <c r="C58" s="9" t="s">
        <v>97</v>
      </c>
      <c r="D58" s="9" t="s">
        <v>98</v>
      </c>
      <c r="E58" s="9" t="s">
        <v>99</v>
      </c>
      <c r="F58" s="9" t="s">
        <v>100</v>
      </c>
      <c r="G58" s="9" t="s">
        <v>101</v>
      </c>
      <c r="H58" s="9" t="s">
        <v>102</v>
      </c>
      <c r="I58" s="9" t="s">
        <v>103</v>
      </c>
      <c r="J58" s="9" t="s">
        <v>77</v>
      </c>
      <c r="K58" s="9" t="s">
        <v>104</v>
      </c>
    </row>
    <row r="59" customFormat="false" ht="27.75" hidden="false" customHeight="true" outlineLevel="0" collapsed="false">
      <c r="B59" s="39" t="n">
        <v>1</v>
      </c>
      <c r="C59" s="10"/>
      <c r="D59" s="10"/>
      <c r="E59" s="10"/>
      <c r="F59" s="41"/>
      <c r="G59" s="10"/>
      <c r="H59" s="10"/>
      <c r="I59" s="40"/>
      <c r="J59" s="42"/>
      <c r="K59" s="10"/>
    </row>
    <row r="60" customFormat="false" ht="27.75" hidden="false" customHeight="true" outlineLevel="0" collapsed="false">
      <c r="B60" s="44" t="n">
        <v>2</v>
      </c>
      <c r="C60" s="13"/>
      <c r="D60" s="13"/>
      <c r="E60" s="13"/>
      <c r="F60" s="46"/>
      <c r="G60" s="13"/>
      <c r="H60" s="13"/>
      <c r="I60" s="45"/>
      <c r="J60" s="47"/>
      <c r="K60" s="13"/>
    </row>
    <row r="61" customFormat="false" ht="27.75" hidden="false" customHeight="true" outlineLevel="0" collapsed="false">
      <c r="B61" s="39" t="n">
        <v>3</v>
      </c>
      <c r="C61" s="10"/>
      <c r="D61" s="10"/>
      <c r="E61" s="10"/>
      <c r="F61" s="41"/>
      <c r="G61" s="10"/>
      <c r="H61" s="10"/>
      <c r="I61" s="40"/>
      <c r="J61" s="42"/>
      <c r="K61" s="10"/>
    </row>
    <row r="62" customFormat="false" ht="27.75" hidden="false" customHeight="true" outlineLevel="0" collapsed="false">
      <c r="B62" s="44" t="n">
        <v>4</v>
      </c>
      <c r="C62" s="13"/>
      <c r="D62" s="13"/>
      <c r="E62" s="13"/>
      <c r="F62" s="46"/>
      <c r="G62" s="13"/>
      <c r="H62" s="13"/>
      <c r="I62" s="45"/>
      <c r="J62" s="47"/>
      <c r="K62" s="13"/>
    </row>
    <row r="63" customFormat="false" ht="27.75" hidden="false" customHeight="true" outlineLevel="0" collapsed="false">
      <c r="B63" s="39" t="n">
        <v>5</v>
      </c>
      <c r="C63" s="10"/>
      <c r="D63" s="10"/>
      <c r="E63" s="10"/>
      <c r="F63" s="41"/>
      <c r="G63" s="10"/>
      <c r="H63" s="10"/>
      <c r="I63" s="40"/>
      <c r="J63" s="42"/>
      <c r="K63" s="10"/>
    </row>
    <row r="64" customFormat="false" ht="21.75" hidden="false" customHeight="true" outlineLevel="0" collapsed="false">
      <c r="A64" s="23" t="s">
        <v>105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customFormat="false" ht="36" hidden="false" customHeight="true" outlineLevel="0" collapsed="false">
      <c r="B65" s="9" t="s">
        <v>70</v>
      </c>
      <c r="C65" s="9" t="s">
        <v>106</v>
      </c>
      <c r="D65" s="9" t="s">
        <v>107</v>
      </c>
      <c r="E65" s="9" t="s">
        <v>72</v>
      </c>
      <c r="F65" s="9" t="s">
        <v>108</v>
      </c>
      <c r="G65" s="9" t="s">
        <v>87</v>
      </c>
      <c r="H65" s="9" t="s">
        <v>101</v>
      </c>
      <c r="I65" s="9" t="s">
        <v>77</v>
      </c>
      <c r="J65" s="9" t="s">
        <v>109</v>
      </c>
      <c r="K65" s="9" t="s">
        <v>61</v>
      </c>
    </row>
    <row r="66" customFormat="false" ht="24.75" hidden="false" customHeight="true" outlineLevel="0" collapsed="false">
      <c r="B66" s="39" t="n">
        <v>1</v>
      </c>
      <c r="C66" s="10"/>
      <c r="D66" s="42"/>
      <c r="E66" s="10"/>
      <c r="F66" s="10"/>
      <c r="G66" s="40"/>
      <c r="H66" s="42"/>
      <c r="I66" s="42"/>
      <c r="J66" s="40"/>
      <c r="K66" s="10"/>
    </row>
    <row r="67" customFormat="false" ht="24.75" hidden="false" customHeight="true" outlineLevel="0" collapsed="false">
      <c r="B67" s="44" t="n">
        <v>2</v>
      </c>
      <c r="C67" s="13"/>
      <c r="D67" s="47"/>
      <c r="E67" s="13"/>
      <c r="F67" s="13"/>
      <c r="G67" s="45"/>
      <c r="H67" s="47"/>
      <c r="I67" s="47"/>
      <c r="J67" s="45"/>
      <c r="K67" s="13"/>
    </row>
    <row r="68" customFormat="false" ht="24.75" hidden="false" customHeight="true" outlineLevel="0" collapsed="false">
      <c r="B68" s="39" t="n">
        <v>3</v>
      </c>
      <c r="C68" s="10"/>
      <c r="D68" s="42"/>
      <c r="E68" s="10"/>
      <c r="F68" s="10"/>
      <c r="G68" s="40"/>
      <c r="H68" s="42"/>
      <c r="I68" s="42"/>
      <c r="J68" s="40"/>
      <c r="K68" s="10"/>
    </row>
    <row r="69" customFormat="false" ht="24.75" hidden="false" customHeight="true" outlineLevel="0" collapsed="false">
      <c r="B69" s="44" t="n">
        <v>4</v>
      </c>
      <c r="C69" s="13"/>
      <c r="D69" s="47"/>
      <c r="E69" s="13"/>
      <c r="F69" s="13"/>
      <c r="G69" s="45"/>
      <c r="H69" s="47"/>
      <c r="I69" s="47"/>
      <c r="J69" s="45"/>
      <c r="K69" s="13"/>
    </row>
    <row r="70" customFormat="false" ht="24.75" hidden="false" customHeight="true" outlineLevel="0" collapsed="false">
      <c r="B70" s="39" t="n">
        <v>5</v>
      </c>
      <c r="C70" s="10"/>
      <c r="D70" s="42"/>
      <c r="E70" s="10"/>
      <c r="F70" s="10"/>
      <c r="G70" s="40"/>
      <c r="H70" s="42"/>
      <c r="I70" s="42"/>
      <c r="J70" s="40"/>
      <c r="K70" s="10"/>
    </row>
    <row r="71" customFormat="false" ht="24.75" hidden="false" customHeight="true" outlineLevel="0" collapsed="false">
      <c r="B71" s="44" t="n">
        <v>6</v>
      </c>
      <c r="C71" s="13"/>
      <c r="D71" s="47"/>
      <c r="E71" s="13"/>
      <c r="F71" s="13"/>
      <c r="G71" s="45"/>
      <c r="H71" s="47"/>
      <c r="I71" s="47"/>
      <c r="J71" s="45"/>
      <c r="K71" s="13"/>
    </row>
    <row r="72" customFormat="false" ht="24.75" hidden="false" customHeight="true" outlineLevel="0" collapsed="false">
      <c r="B72" s="39" t="n">
        <v>7</v>
      </c>
      <c r="C72" s="10"/>
      <c r="D72" s="42"/>
      <c r="E72" s="10"/>
      <c r="F72" s="10"/>
      <c r="G72" s="40"/>
      <c r="H72" s="42"/>
      <c r="I72" s="42"/>
      <c r="J72" s="40"/>
      <c r="K72" s="10"/>
    </row>
    <row r="73" customFormat="false" ht="24.75" hidden="false" customHeight="true" outlineLevel="0" collapsed="false">
      <c r="B73" s="44" t="n">
        <v>8</v>
      </c>
      <c r="C73" s="13"/>
      <c r="D73" s="47"/>
      <c r="E73" s="13"/>
      <c r="F73" s="13"/>
      <c r="G73" s="45"/>
      <c r="H73" s="47"/>
      <c r="I73" s="47"/>
      <c r="J73" s="45"/>
      <c r="K73" s="13"/>
    </row>
    <row r="74" customFormat="false" ht="21.75" hidden="false" customHeight="true" outlineLevel="0" collapsed="false">
      <c r="A74" s="52" t="s">
        <v>110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</row>
    <row r="75" customFormat="false" ht="30" hidden="false" customHeight="true" outlineLevel="0" collapsed="false">
      <c r="B75" s="49" t="s">
        <v>70</v>
      </c>
      <c r="C75" s="49" t="s">
        <v>111</v>
      </c>
      <c r="D75" s="49" t="s">
        <v>82</v>
      </c>
      <c r="E75" s="49" t="s">
        <v>112</v>
      </c>
      <c r="F75" s="49" t="s">
        <v>113</v>
      </c>
      <c r="G75" s="49" t="s">
        <v>114</v>
      </c>
      <c r="H75" s="49" t="s">
        <v>72</v>
      </c>
      <c r="I75" s="49" t="s">
        <v>77</v>
      </c>
    </row>
    <row r="76" customFormat="false" ht="34.5" hidden="false" customHeight="true" outlineLevel="0" collapsed="false">
      <c r="B76" s="53" t="n">
        <v>1</v>
      </c>
      <c r="C76" s="54"/>
      <c r="D76" s="54"/>
      <c r="E76" s="54"/>
      <c r="F76" s="54"/>
      <c r="G76" s="55"/>
      <c r="H76" s="54"/>
      <c r="I76" s="54"/>
    </row>
    <row r="77" customFormat="false" ht="34.5" hidden="false" customHeight="true" outlineLevel="0" collapsed="false">
      <c r="B77" s="56" t="n">
        <v>2</v>
      </c>
      <c r="C77" s="10"/>
      <c r="D77" s="10"/>
      <c r="E77" s="10"/>
      <c r="F77" s="10"/>
      <c r="G77" s="40"/>
      <c r="H77" s="10"/>
      <c r="I77" s="10"/>
    </row>
    <row r="78" customFormat="false" ht="34.5" hidden="false" customHeight="true" outlineLevel="0" collapsed="false">
      <c r="B78" s="53" t="n">
        <v>3</v>
      </c>
      <c r="C78" s="54"/>
      <c r="D78" s="54"/>
      <c r="E78" s="54"/>
      <c r="F78" s="54"/>
      <c r="G78" s="55"/>
      <c r="H78" s="54"/>
      <c r="I78" s="54"/>
    </row>
    <row r="79" customFormat="false" ht="34.5" hidden="false" customHeight="true" outlineLevel="0" collapsed="false">
      <c r="B79" s="56" t="n">
        <v>4</v>
      </c>
      <c r="C79" s="10"/>
      <c r="D79" s="10"/>
      <c r="E79" s="10"/>
      <c r="F79" s="10"/>
      <c r="G79" s="40"/>
      <c r="H79" s="10"/>
      <c r="I79" s="10"/>
    </row>
    <row r="80" customFormat="false" ht="34.5" hidden="false" customHeight="true" outlineLevel="0" collapsed="false">
      <c r="B80" s="53" t="n">
        <v>5</v>
      </c>
      <c r="C80" s="54"/>
      <c r="D80" s="54"/>
      <c r="E80" s="54"/>
      <c r="F80" s="54"/>
      <c r="G80" s="55"/>
      <c r="H80" s="54"/>
      <c r="I80" s="54"/>
    </row>
    <row r="81" customFormat="false" ht="21.75" hidden="false" customHeight="true" outlineLevel="0" collapsed="false">
      <c r="A81" s="23" t="s">
        <v>115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customFormat="false" ht="36" hidden="false" customHeight="true" outlineLevel="0" collapsed="false">
      <c r="B82" s="9" t="s">
        <v>70</v>
      </c>
      <c r="C82" s="9" t="s">
        <v>116</v>
      </c>
      <c r="D82" s="9" t="s">
        <v>117</v>
      </c>
      <c r="E82" s="9" t="s">
        <v>118</v>
      </c>
      <c r="F82" s="9" t="s">
        <v>119</v>
      </c>
      <c r="G82" s="9" t="s">
        <v>87</v>
      </c>
      <c r="H82" s="9" t="s">
        <v>76</v>
      </c>
      <c r="I82" s="9" t="s">
        <v>77</v>
      </c>
    </row>
    <row r="83" customFormat="false" ht="24.75" hidden="false" customHeight="true" outlineLevel="0" collapsed="false">
      <c r="B83" s="39" t="n">
        <v>1</v>
      </c>
      <c r="C83" s="10"/>
      <c r="D83" s="10"/>
      <c r="E83" s="42"/>
      <c r="F83" s="10"/>
      <c r="G83" s="40"/>
      <c r="H83" s="42"/>
      <c r="I83" s="42"/>
    </row>
    <row r="84" customFormat="false" ht="24.75" hidden="false" customHeight="true" outlineLevel="0" collapsed="false">
      <c r="B84" s="44" t="n">
        <v>2</v>
      </c>
      <c r="C84" s="13"/>
      <c r="D84" s="13"/>
      <c r="E84" s="47"/>
      <c r="F84" s="13"/>
      <c r="G84" s="45"/>
      <c r="H84" s="47"/>
      <c r="I84" s="47"/>
    </row>
    <row r="85" customFormat="false" ht="24.75" hidden="false" customHeight="true" outlineLevel="0" collapsed="false">
      <c r="B85" s="39" t="n">
        <v>3</v>
      </c>
      <c r="C85" s="10"/>
      <c r="D85" s="10"/>
      <c r="E85" s="42"/>
      <c r="F85" s="10"/>
      <c r="G85" s="40"/>
      <c r="H85" s="42"/>
      <c r="I85" s="42"/>
    </row>
    <row r="86" customFormat="false" ht="24.75" hidden="false" customHeight="true" outlineLevel="0" collapsed="false">
      <c r="B86" s="44" t="n">
        <v>4</v>
      </c>
      <c r="C86" s="13"/>
      <c r="D86" s="13"/>
      <c r="E86" s="47"/>
      <c r="F86" s="13"/>
      <c r="G86" s="45"/>
      <c r="H86" s="47"/>
      <c r="I86" s="47"/>
    </row>
    <row r="87" customFormat="false" ht="24.75" hidden="false" customHeight="true" outlineLevel="0" collapsed="false">
      <c r="B87" s="39" t="n">
        <v>5</v>
      </c>
      <c r="C87" s="10"/>
      <c r="D87" s="10"/>
      <c r="E87" s="42"/>
      <c r="F87" s="10"/>
      <c r="G87" s="40"/>
      <c r="H87" s="42"/>
      <c r="I87" s="42"/>
    </row>
    <row r="88" customFormat="false" ht="24.75" hidden="false" customHeight="true" outlineLevel="0" collapsed="false">
      <c r="B88" s="44" t="n">
        <v>6</v>
      </c>
      <c r="C88" s="13"/>
      <c r="D88" s="13"/>
      <c r="E88" s="47"/>
      <c r="F88" s="13"/>
      <c r="G88" s="45"/>
      <c r="H88" s="47"/>
      <c r="I88" s="47"/>
    </row>
    <row r="89" customFormat="false" ht="21.75" hidden="false" customHeight="true" outlineLevel="0" collapsed="false">
      <c r="A89" s="23" t="s">
        <v>120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customFormat="false" ht="19.5" hidden="false" customHeight="true" outlineLevel="0" collapsed="false">
      <c r="B90" s="57" t="s">
        <v>121</v>
      </c>
      <c r="C90" s="57"/>
      <c r="D90" s="57"/>
      <c r="E90" s="58"/>
      <c r="F90" s="58"/>
      <c r="G90" s="58"/>
      <c r="H90" s="58"/>
      <c r="I90" s="58"/>
      <c r="J90" s="58"/>
      <c r="K90" s="58"/>
      <c r="L90" s="58"/>
    </row>
    <row r="91" customFormat="false" ht="19.5" hidden="false" customHeight="true" outlineLevel="0" collapsed="false">
      <c r="B91" s="57"/>
      <c r="C91" s="57"/>
      <c r="D91" s="57"/>
      <c r="E91" s="58"/>
      <c r="F91" s="58"/>
      <c r="G91" s="58"/>
      <c r="H91" s="58"/>
      <c r="I91" s="58"/>
      <c r="J91" s="58"/>
      <c r="K91" s="58"/>
      <c r="L91" s="58"/>
    </row>
    <row r="92" customFormat="false" ht="19.5" hidden="false" customHeight="true" outlineLevel="0" collapsed="false">
      <c r="B92" s="57"/>
      <c r="C92" s="57"/>
      <c r="D92" s="57"/>
      <c r="E92" s="58"/>
      <c r="F92" s="58"/>
      <c r="G92" s="58"/>
      <c r="H92" s="58"/>
      <c r="I92" s="58"/>
      <c r="J92" s="58"/>
      <c r="K92" s="58"/>
      <c r="L92" s="58"/>
    </row>
    <row r="93" customFormat="false" ht="19.5" hidden="false" customHeight="true" outlineLevel="0" collapsed="false">
      <c r="B93" s="57" t="s">
        <v>122</v>
      </c>
      <c r="C93" s="57"/>
      <c r="D93" s="57"/>
      <c r="E93" s="58"/>
      <c r="F93" s="58"/>
      <c r="G93" s="58"/>
      <c r="H93" s="58"/>
      <c r="I93" s="58"/>
      <c r="J93" s="58"/>
      <c r="K93" s="58"/>
      <c r="L93" s="58"/>
    </row>
    <row r="94" customFormat="false" ht="19.5" hidden="false" customHeight="true" outlineLevel="0" collapsed="false">
      <c r="B94" s="57"/>
      <c r="C94" s="57"/>
      <c r="D94" s="57"/>
      <c r="E94" s="58"/>
      <c r="F94" s="58"/>
      <c r="G94" s="58"/>
      <c r="H94" s="58"/>
      <c r="I94" s="58"/>
      <c r="J94" s="58"/>
      <c r="K94" s="58"/>
      <c r="L94" s="58"/>
    </row>
    <row r="95" customFormat="false" ht="19.5" hidden="false" customHeight="true" outlineLevel="0" collapsed="false">
      <c r="B95" s="57" t="s">
        <v>123</v>
      </c>
      <c r="C95" s="57"/>
      <c r="D95" s="57"/>
      <c r="E95" s="58"/>
      <c r="F95" s="58"/>
      <c r="G95" s="58"/>
      <c r="H95" s="58"/>
      <c r="I95" s="58"/>
      <c r="J95" s="58"/>
      <c r="K95" s="58"/>
      <c r="L95" s="58"/>
    </row>
    <row r="96" customFormat="false" ht="19.5" hidden="false" customHeight="true" outlineLevel="0" collapsed="false">
      <c r="B96" s="57"/>
      <c r="C96" s="57"/>
      <c r="D96" s="57"/>
      <c r="E96" s="58"/>
      <c r="F96" s="58"/>
      <c r="G96" s="58"/>
      <c r="H96" s="58"/>
      <c r="I96" s="58"/>
      <c r="J96" s="58"/>
      <c r="K96" s="58"/>
      <c r="L96" s="58"/>
    </row>
    <row r="97" customFormat="false" ht="19.5" hidden="false" customHeight="true" outlineLevel="0" collapsed="false">
      <c r="B97" s="57"/>
      <c r="C97" s="57"/>
      <c r="D97" s="57"/>
      <c r="E97" s="58"/>
      <c r="F97" s="58"/>
      <c r="G97" s="58"/>
      <c r="H97" s="58"/>
      <c r="I97" s="58"/>
      <c r="J97" s="58"/>
      <c r="K97" s="58"/>
      <c r="L97" s="58"/>
    </row>
    <row r="98" customFormat="false" ht="19.5" hidden="false" customHeight="true" outlineLevel="0" collapsed="false">
      <c r="B98" s="57" t="s">
        <v>124</v>
      </c>
      <c r="C98" s="57"/>
      <c r="D98" s="57"/>
      <c r="E98" s="58"/>
      <c r="F98" s="58"/>
      <c r="G98" s="58"/>
      <c r="H98" s="58"/>
      <c r="I98" s="58"/>
      <c r="J98" s="58"/>
      <c r="K98" s="58"/>
      <c r="L98" s="58"/>
    </row>
    <row r="99" customFormat="false" ht="19.5" hidden="false" customHeight="true" outlineLevel="0" collapsed="false">
      <c r="B99" s="57"/>
      <c r="C99" s="57"/>
      <c r="D99" s="57"/>
      <c r="E99" s="58"/>
      <c r="F99" s="58"/>
      <c r="G99" s="58"/>
      <c r="H99" s="58"/>
      <c r="I99" s="58"/>
      <c r="J99" s="58"/>
      <c r="K99" s="58"/>
      <c r="L99" s="58"/>
    </row>
    <row r="100" customFormat="false" ht="18" hidden="false" customHeight="true" outlineLevel="0" collapsed="false">
      <c r="B100" s="59" t="s">
        <v>125</v>
      </c>
      <c r="C100" s="59"/>
      <c r="D100" s="59"/>
      <c r="E100" s="59"/>
      <c r="F100" s="59"/>
      <c r="G100" s="59"/>
      <c r="H100" s="59"/>
      <c r="I100" s="59"/>
      <c r="J100" s="59"/>
      <c r="K100" s="59"/>
      <c r="L100" s="59"/>
    </row>
  </sheetData>
  <mergeCells count="29">
    <mergeCell ref="A1:L1"/>
    <mergeCell ref="A2:L2"/>
    <mergeCell ref="C3:E3"/>
    <mergeCell ref="G3:I3"/>
    <mergeCell ref="C4:E4"/>
    <mergeCell ref="G4:I4"/>
    <mergeCell ref="A7:L7"/>
    <mergeCell ref="A12:L12"/>
    <mergeCell ref="B13:L15"/>
    <mergeCell ref="A16:L16"/>
    <mergeCell ref="B24:E24"/>
    <mergeCell ref="F24:G24"/>
    <mergeCell ref="A25:L25"/>
    <mergeCell ref="A37:L37"/>
    <mergeCell ref="A47:L47"/>
    <mergeCell ref="A57:L57"/>
    <mergeCell ref="A64:L64"/>
    <mergeCell ref="A74:L74"/>
    <mergeCell ref="A81:L81"/>
    <mergeCell ref="A89:L89"/>
    <mergeCell ref="B90:D92"/>
    <mergeCell ref="E90:L92"/>
    <mergeCell ref="B93:D94"/>
    <mergeCell ref="E93:L94"/>
    <mergeCell ref="B95:D97"/>
    <mergeCell ref="E95:L97"/>
    <mergeCell ref="B98:D99"/>
    <mergeCell ref="E98:L99"/>
    <mergeCell ref="B100:L100"/>
  </mergeCells>
  <conditionalFormatting sqref="C9:J9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"G"</formula>
    </cfRule>
  </conditionalFormatting>
  <conditionalFormatting sqref="C10:J10">
    <cfRule type="cellIs" priority="5" operator="equal" aboveAverage="0" equalAverage="0" bottom="0" percent="0" rank="0" text="" dxfId="0">
      <formula>"R"</formula>
    </cfRule>
    <cfRule type="cellIs" priority="6" operator="equal" aboveAverage="0" equalAverage="0" bottom="0" percent="0" rank="0" text="" dxfId="1">
      <formula>"A"</formula>
    </cfRule>
    <cfRule type="cellIs" priority="7" operator="equal" aboveAverage="0" equalAverage="0" bottom="0" percent="0" rank="0" text="" dxfId="2">
      <formula>"G"</formula>
    </cfRule>
  </conditionalFormatting>
  <conditionalFormatting sqref="C11:J11">
    <cfRule type="cellIs" priority="8" operator="equal" aboveAverage="0" equalAverage="0" bottom="0" percent="0" rank="0" text="" dxfId="0">
      <formula>"R"</formula>
    </cfRule>
    <cfRule type="cellIs" priority="9" operator="equal" aboveAverage="0" equalAverage="0" bottom="0" percent="0" rank="0" text="" dxfId="1">
      <formula>"A"</formula>
    </cfRule>
    <cfRule type="cellIs" priority="10" operator="equal" aboveAverage="0" equalAverage="0" bottom="0" percent="0" rank="0" text="" dxfId="2">
      <formula>"G"</formula>
    </cfRule>
  </conditionalFormatting>
  <conditionalFormatting sqref="F24">
    <cfRule type="cellIs" priority="11" operator="equal" aboveAverage="0" equalAverage="0" bottom="0" percent="0" rank="0" text="" dxfId="0">
      <formula>"R"</formula>
    </cfRule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2">
      <formula>"G"</formula>
    </cfRule>
  </conditionalFormatting>
  <conditionalFormatting sqref="H27">
    <cfRule type="cellIs" priority="14" operator="equal" aboveAverage="0" equalAverage="0" bottom="0" percent="0" rank="0" text="" dxfId="0">
      <formula>"R"</formula>
    </cfRule>
    <cfRule type="cellIs" priority="15" operator="equal" aboveAverage="0" equalAverage="0" bottom="0" percent="0" rank="0" text="" dxfId="1">
      <formula>"A"</formula>
    </cfRule>
    <cfRule type="cellIs" priority="16" operator="equal" aboveAverage="0" equalAverage="0" bottom="0" percent="0" rank="0" text="" dxfId="2">
      <formula>"G"</formula>
    </cfRule>
  </conditionalFormatting>
  <conditionalFormatting sqref="H28">
    <cfRule type="cellIs" priority="17" operator="equal" aboveAverage="0" equalAverage="0" bottom="0" percent="0" rank="0" text="" dxfId="0">
      <formula>"R"</formula>
    </cfRule>
    <cfRule type="cellIs" priority="18" operator="equal" aboveAverage="0" equalAverage="0" bottom="0" percent="0" rank="0" text="" dxfId="1">
      <formula>"A"</formula>
    </cfRule>
    <cfRule type="cellIs" priority="19" operator="equal" aboveAverage="0" equalAverage="0" bottom="0" percent="0" rank="0" text="" dxfId="2">
      <formula>"G"</formula>
    </cfRule>
  </conditionalFormatting>
  <conditionalFormatting sqref="H29">
    <cfRule type="cellIs" priority="20" operator="equal" aboveAverage="0" equalAverage="0" bottom="0" percent="0" rank="0" text="" dxfId="0">
      <formula>"R"</formula>
    </cfRule>
    <cfRule type="cellIs" priority="21" operator="equal" aboveAverage="0" equalAverage="0" bottom="0" percent="0" rank="0" text="" dxfId="1">
      <formula>"A"</formula>
    </cfRule>
    <cfRule type="cellIs" priority="22" operator="equal" aboveAverage="0" equalAverage="0" bottom="0" percent="0" rank="0" text="" dxfId="2">
      <formula>"G"</formula>
    </cfRule>
  </conditionalFormatting>
  <conditionalFormatting sqref="H30"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1">
      <formula>"A"</formula>
    </cfRule>
    <cfRule type="cellIs" priority="25" operator="equal" aboveAverage="0" equalAverage="0" bottom="0" percent="0" rank="0" text="" dxfId="2">
      <formula>"G"</formula>
    </cfRule>
  </conditionalFormatting>
  <conditionalFormatting sqref="H31">
    <cfRule type="cellIs" priority="26" operator="equal" aboveAverage="0" equalAverage="0" bottom="0" percent="0" rank="0" text="" dxfId="0">
      <formula>"R"</formula>
    </cfRule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2">
      <formula>"G"</formula>
    </cfRule>
  </conditionalFormatting>
  <conditionalFormatting sqref="H32">
    <cfRule type="cellIs" priority="29" operator="equal" aboveAverage="0" equalAverage="0" bottom="0" percent="0" rank="0" text="" dxfId="0">
      <formula>"R"</formula>
    </cfRule>
    <cfRule type="cellIs" priority="30" operator="equal" aboveAverage="0" equalAverage="0" bottom="0" percent="0" rank="0" text="" dxfId="1">
      <formula>"A"</formula>
    </cfRule>
    <cfRule type="cellIs" priority="31" operator="equal" aboveAverage="0" equalAverage="0" bottom="0" percent="0" rank="0" text="" dxfId="2">
      <formula>"G"</formula>
    </cfRule>
  </conditionalFormatting>
  <conditionalFormatting sqref="H33">
    <cfRule type="cellIs" priority="32" operator="equal" aboveAverage="0" equalAverage="0" bottom="0" percent="0" rank="0" text="" dxfId="0">
      <formula>"R"</formula>
    </cfRule>
    <cfRule type="cellIs" priority="33" operator="equal" aboveAverage="0" equalAverage="0" bottom="0" percent="0" rank="0" text="" dxfId="1">
      <formula>"A"</formula>
    </cfRule>
    <cfRule type="cellIs" priority="34" operator="equal" aboveAverage="0" equalAverage="0" bottom="0" percent="0" rank="0" text="" dxfId="2">
      <formula>"G"</formula>
    </cfRule>
  </conditionalFormatting>
  <conditionalFormatting sqref="H34">
    <cfRule type="cellIs" priority="35" operator="equal" aboveAverage="0" equalAverage="0" bottom="0" percent="0" rank="0" text="" dxfId="0">
      <formula>"R"</formula>
    </cfRule>
    <cfRule type="cellIs" priority="36" operator="equal" aboveAverage="0" equalAverage="0" bottom="0" percent="0" rank="0" text="" dxfId="1">
      <formula>"A"</formula>
    </cfRule>
    <cfRule type="cellIs" priority="37" operator="equal" aboveAverage="0" equalAverage="0" bottom="0" percent="0" rank="0" text="" dxfId="2">
      <formula>"G"</formula>
    </cfRule>
  </conditionalFormatting>
  <conditionalFormatting sqref="H35">
    <cfRule type="cellIs" priority="38" operator="equal" aboveAverage="0" equalAverage="0" bottom="0" percent="0" rank="0" text="" dxfId="0">
      <formula>"R"</formula>
    </cfRule>
    <cfRule type="cellIs" priority="39" operator="equal" aboveAverage="0" equalAverage="0" bottom="0" percent="0" rank="0" text="" dxfId="1">
      <formula>"A"</formula>
    </cfRule>
    <cfRule type="cellIs" priority="40" operator="equal" aboveAverage="0" equalAverage="0" bottom="0" percent="0" rank="0" text="" dxfId="2">
      <formula>"G"</formula>
    </cfRule>
  </conditionalFormatting>
  <conditionalFormatting sqref="H36">
    <cfRule type="cellIs" priority="41" operator="equal" aboveAverage="0" equalAverage="0" bottom="0" percent="0" rank="0" text="" dxfId="0">
      <formula>"R"</formula>
    </cfRule>
    <cfRule type="cellIs" priority="42" operator="equal" aboveAverage="0" equalAverage="0" bottom="0" percent="0" rank="0" text="" dxfId="1">
      <formula>"A"</formula>
    </cfRule>
    <cfRule type="cellIs" priority="43" operator="equal" aboveAverage="0" equalAverage="0" bottom="0" percent="0" rank="0" text="" dxfId="2">
      <formula>"G"</formula>
    </cfRule>
  </conditionalFormatting>
  <conditionalFormatting sqref="L39">
    <cfRule type="cellIs" priority="44" operator="equal" aboveAverage="0" equalAverage="0" bottom="0" percent="0" rank="0" text="" dxfId="0">
      <formula>"R"</formula>
    </cfRule>
    <cfRule type="cellIs" priority="45" operator="equal" aboveAverage="0" equalAverage="0" bottom="0" percent="0" rank="0" text="" dxfId="1">
      <formula>"A"</formula>
    </cfRule>
    <cfRule type="cellIs" priority="46" operator="equal" aboveAverage="0" equalAverage="0" bottom="0" percent="0" rank="0" text="" dxfId="2">
      <formula>"G"</formula>
    </cfRule>
  </conditionalFormatting>
  <conditionalFormatting sqref="L40">
    <cfRule type="cellIs" priority="47" operator="equal" aboveAverage="0" equalAverage="0" bottom="0" percent="0" rank="0" text="" dxfId="0">
      <formula>"R"</formula>
    </cfRule>
    <cfRule type="cellIs" priority="48" operator="equal" aboveAverage="0" equalAverage="0" bottom="0" percent="0" rank="0" text="" dxfId="1">
      <formula>"A"</formula>
    </cfRule>
    <cfRule type="cellIs" priority="49" operator="equal" aboveAverage="0" equalAverage="0" bottom="0" percent="0" rank="0" text="" dxfId="2">
      <formula>"G"</formula>
    </cfRule>
  </conditionalFormatting>
  <conditionalFormatting sqref="L41">
    <cfRule type="cellIs" priority="50" operator="equal" aboveAverage="0" equalAverage="0" bottom="0" percent="0" rank="0" text="" dxfId="0">
      <formula>"R"</formula>
    </cfRule>
    <cfRule type="cellIs" priority="51" operator="equal" aboveAverage="0" equalAverage="0" bottom="0" percent="0" rank="0" text="" dxfId="1">
      <formula>"A"</formula>
    </cfRule>
    <cfRule type="cellIs" priority="52" operator="equal" aboveAverage="0" equalAverage="0" bottom="0" percent="0" rank="0" text="" dxfId="2">
      <formula>"G"</formula>
    </cfRule>
  </conditionalFormatting>
  <conditionalFormatting sqref="L42">
    <cfRule type="cellIs" priority="53" operator="equal" aboveAverage="0" equalAverage="0" bottom="0" percent="0" rank="0" text="" dxfId="0">
      <formula>"R"</formula>
    </cfRule>
    <cfRule type="cellIs" priority="54" operator="equal" aboveAverage="0" equalAverage="0" bottom="0" percent="0" rank="0" text="" dxfId="1">
      <formula>"A"</formula>
    </cfRule>
    <cfRule type="cellIs" priority="55" operator="equal" aboveAverage="0" equalAverage="0" bottom="0" percent="0" rank="0" text="" dxfId="2">
      <formula>"G"</formula>
    </cfRule>
  </conditionalFormatting>
  <conditionalFormatting sqref="L43">
    <cfRule type="cellIs" priority="56" operator="equal" aboveAverage="0" equalAverage="0" bottom="0" percent="0" rank="0" text="" dxfId="0">
      <formula>"R"</formula>
    </cfRule>
    <cfRule type="cellIs" priority="57" operator="equal" aboveAverage="0" equalAverage="0" bottom="0" percent="0" rank="0" text="" dxfId="1">
      <formula>"A"</formula>
    </cfRule>
    <cfRule type="cellIs" priority="58" operator="equal" aboveAverage="0" equalAverage="0" bottom="0" percent="0" rank="0" text="" dxfId="2">
      <formula>"G"</formula>
    </cfRule>
  </conditionalFormatting>
  <conditionalFormatting sqref="L44">
    <cfRule type="cellIs" priority="59" operator="equal" aboveAverage="0" equalAverage="0" bottom="0" percent="0" rank="0" text="" dxfId="0">
      <formula>"R"</formula>
    </cfRule>
    <cfRule type="cellIs" priority="60" operator="equal" aboveAverage="0" equalAverage="0" bottom="0" percent="0" rank="0" text="" dxfId="1">
      <formula>"A"</formula>
    </cfRule>
    <cfRule type="cellIs" priority="61" operator="equal" aboveAverage="0" equalAverage="0" bottom="0" percent="0" rank="0" text="" dxfId="2">
      <formula>"G"</formula>
    </cfRule>
  </conditionalFormatting>
  <conditionalFormatting sqref="L45">
    <cfRule type="cellIs" priority="62" operator="equal" aboveAverage="0" equalAverage="0" bottom="0" percent="0" rank="0" text="" dxfId="0">
      <formula>"R"</formula>
    </cfRule>
    <cfRule type="cellIs" priority="63" operator="equal" aboveAverage="0" equalAverage="0" bottom="0" percent="0" rank="0" text="" dxfId="1">
      <formula>"A"</formula>
    </cfRule>
    <cfRule type="cellIs" priority="64" operator="equal" aboveAverage="0" equalAverage="0" bottom="0" percent="0" rank="0" text="" dxfId="2">
      <formula>"G"</formula>
    </cfRule>
  </conditionalFormatting>
  <conditionalFormatting sqref="L46">
    <cfRule type="cellIs" priority="65" operator="equal" aboveAverage="0" equalAverage="0" bottom="0" percent="0" rank="0" text="" dxfId="0">
      <formula>"R"</formula>
    </cfRule>
    <cfRule type="cellIs" priority="66" operator="equal" aboveAverage="0" equalAverage="0" bottom="0" percent="0" rank="0" text="" dxfId="1">
      <formula>"A"</formula>
    </cfRule>
    <cfRule type="cellIs" priority="67" operator="equal" aboveAverage="0" equalAverage="0" bottom="0" percent="0" rank="0" text="" dxfId="2">
      <formula>"G"</formula>
    </cfRule>
  </conditionalFormatting>
  <conditionalFormatting sqref="L49">
    <cfRule type="cellIs" priority="68" operator="equal" aboveAverage="0" equalAverage="0" bottom="0" percent="0" rank="0" text="" dxfId="0">
      <formula>"R"</formula>
    </cfRule>
    <cfRule type="cellIs" priority="69" operator="equal" aboveAverage="0" equalAverage="0" bottom="0" percent="0" rank="0" text="" dxfId="1">
      <formula>"A"</formula>
    </cfRule>
    <cfRule type="cellIs" priority="70" operator="equal" aboveAverage="0" equalAverage="0" bottom="0" percent="0" rank="0" text="" dxfId="2">
      <formula>"G"</formula>
    </cfRule>
  </conditionalFormatting>
  <conditionalFormatting sqref="L50">
    <cfRule type="cellIs" priority="71" operator="equal" aboveAverage="0" equalAverage="0" bottom="0" percent="0" rank="0" text="" dxfId="0">
      <formula>"R"</formula>
    </cfRule>
    <cfRule type="cellIs" priority="72" operator="equal" aboveAverage="0" equalAverage="0" bottom="0" percent="0" rank="0" text="" dxfId="1">
      <formula>"A"</formula>
    </cfRule>
    <cfRule type="cellIs" priority="73" operator="equal" aboveAverage="0" equalAverage="0" bottom="0" percent="0" rank="0" text="" dxfId="2">
      <formula>"G"</formula>
    </cfRule>
  </conditionalFormatting>
  <conditionalFormatting sqref="L51">
    <cfRule type="cellIs" priority="74" operator="equal" aboveAverage="0" equalAverage="0" bottom="0" percent="0" rank="0" text="" dxfId="0">
      <formula>"R"</formula>
    </cfRule>
    <cfRule type="cellIs" priority="75" operator="equal" aboveAverage="0" equalAverage="0" bottom="0" percent="0" rank="0" text="" dxfId="1">
      <formula>"A"</formula>
    </cfRule>
    <cfRule type="cellIs" priority="76" operator="equal" aboveAverage="0" equalAverage="0" bottom="0" percent="0" rank="0" text="" dxfId="2">
      <formula>"G"</formula>
    </cfRule>
  </conditionalFormatting>
  <conditionalFormatting sqref="L52">
    <cfRule type="cellIs" priority="77" operator="equal" aboveAverage="0" equalAverage="0" bottom="0" percent="0" rank="0" text="" dxfId="0">
      <formula>"R"</formula>
    </cfRule>
    <cfRule type="cellIs" priority="78" operator="equal" aboveAverage="0" equalAverage="0" bottom="0" percent="0" rank="0" text="" dxfId="1">
      <formula>"A"</formula>
    </cfRule>
    <cfRule type="cellIs" priority="79" operator="equal" aboveAverage="0" equalAverage="0" bottom="0" percent="0" rank="0" text="" dxfId="2">
      <formula>"G"</formula>
    </cfRule>
  </conditionalFormatting>
  <conditionalFormatting sqref="L53">
    <cfRule type="cellIs" priority="80" operator="equal" aboveAverage="0" equalAverage="0" bottom="0" percent="0" rank="0" text="" dxfId="0">
      <formula>"R"</formula>
    </cfRule>
    <cfRule type="cellIs" priority="81" operator="equal" aboveAverage="0" equalAverage="0" bottom="0" percent="0" rank="0" text="" dxfId="1">
      <formula>"A"</formula>
    </cfRule>
    <cfRule type="cellIs" priority="82" operator="equal" aboveAverage="0" equalAverage="0" bottom="0" percent="0" rank="0" text="" dxfId="2">
      <formula>"G"</formula>
    </cfRule>
  </conditionalFormatting>
  <conditionalFormatting sqref="L54">
    <cfRule type="cellIs" priority="83" operator="equal" aboveAverage="0" equalAverage="0" bottom="0" percent="0" rank="0" text="" dxfId="0">
      <formula>"R"</formula>
    </cfRule>
    <cfRule type="cellIs" priority="84" operator="equal" aboveAverage="0" equalAverage="0" bottom="0" percent="0" rank="0" text="" dxfId="1">
      <formula>"A"</formula>
    </cfRule>
    <cfRule type="cellIs" priority="85" operator="equal" aboveAverage="0" equalAverage="0" bottom="0" percent="0" rank="0" text="" dxfId="2">
      <formula>"G"</formula>
    </cfRule>
  </conditionalFormatting>
  <conditionalFormatting sqref="L55">
    <cfRule type="cellIs" priority="86" operator="equal" aboveAverage="0" equalAverage="0" bottom="0" percent="0" rank="0" text="" dxfId="0">
      <formula>"R"</formula>
    </cfRule>
    <cfRule type="cellIs" priority="87" operator="equal" aboveAverage="0" equalAverage="0" bottom="0" percent="0" rank="0" text="" dxfId="1">
      <formula>"A"</formula>
    </cfRule>
    <cfRule type="cellIs" priority="88" operator="equal" aboveAverage="0" equalAverage="0" bottom="0" percent="0" rank="0" text="" dxfId="2">
      <formula>"G"</formula>
    </cfRule>
  </conditionalFormatting>
  <conditionalFormatting sqref="L56">
    <cfRule type="cellIs" priority="89" operator="equal" aboveAverage="0" equalAverage="0" bottom="0" percent="0" rank="0" text="" dxfId="0">
      <formula>"R"</formula>
    </cfRule>
    <cfRule type="cellIs" priority="90" operator="equal" aboveAverage="0" equalAverage="0" bottom="0" percent="0" rank="0" text="" dxfId="1">
      <formula>"A"</formula>
    </cfRule>
    <cfRule type="cellIs" priority="91" operator="equal" aboveAverage="0" equalAverage="0" bottom="0" percent="0" rank="0" text="" dxfId="2">
      <formula>"G"</formula>
    </cfRule>
  </conditionalFormatting>
  <conditionalFormatting sqref="H83">
    <cfRule type="cellIs" priority="92" operator="equal" aboveAverage="0" equalAverage="0" bottom="0" percent="0" rank="0" text="" dxfId="0">
      <formula>"R"</formula>
    </cfRule>
    <cfRule type="cellIs" priority="93" operator="equal" aboveAverage="0" equalAverage="0" bottom="0" percent="0" rank="0" text="" dxfId="1">
      <formula>"A"</formula>
    </cfRule>
    <cfRule type="cellIs" priority="94" operator="equal" aboveAverage="0" equalAverage="0" bottom="0" percent="0" rank="0" text="" dxfId="2">
      <formula>"G"</formula>
    </cfRule>
  </conditionalFormatting>
  <conditionalFormatting sqref="H84">
    <cfRule type="cellIs" priority="95" operator="equal" aboveAverage="0" equalAverage="0" bottom="0" percent="0" rank="0" text="" dxfId="0">
      <formula>"R"</formula>
    </cfRule>
    <cfRule type="cellIs" priority="96" operator="equal" aboveAverage="0" equalAverage="0" bottom="0" percent="0" rank="0" text="" dxfId="1">
      <formula>"A"</formula>
    </cfRule>
    <cfRule type="cellIs" priority="97" operator="equal" aboveAverage="0" equalAverage="0" bottom="0" percent="0" rank="0" text="" dxfId="2">
      <formula>"G"</formula>
    </cfRule>
  </conditionalFormatting>
  <conditionalFormatting sqref="H85">
    <cfRule type="cellIs" priority="98" operator="equal" aboveAverage="0" equalAverage="0" bottom="0" percent="0" rank="0" text="" dxfId="0">
      <formula>"R"</formula>
    </cfRule>
    <cfRule type="cellIs" priority="99" operator="equal" aboveAverage="0" equalAverage="0" bottom="0" percent="0" rank="0" text="" dxfId="1">
      <formula>"A"</formula>
    </cfRule>
    <cfRule type="cellIs" priority="100" operator="equal" aboveAverage="0" equalAverage="0" bottom="0" percent="0" rank="0" text="" dxfId="2">
      <formula>"G"</formula>
    </cfRule>
  </conditionalFormatting>
  <conditionalFormatting sqref="H86">
    <cfRule type="cellIs" priority="101" operator="equal" aboveAverage="0" equalAverage="0" bottom="0" percent="0" rank="0" text="" dxfId="0">
      <formula>"R"</formula>
    </cfRule>
    <cfRule type="cellIs" priority="102" operator="equal" aboveAverage="0" equalAverage="0" bottom="0" percent="0" rank="0" text="" dxfId="1">
      <formula>"A"</formula>
    </cfRule>
    <cfRule type="cellIs" priority="103" operator="equal" aboveAverage="0" equalAverage="0" bottom="0" percent="0" rank="0" text="" dxfId="2">
      <formula>"G"</formula>
    </cfRule>
  </conditionalFormatting>
  <conditionalFormatting sqref="H87">
    <cfRule type="cellIs" priority="104" operator="equal" aboveAverage="0" equalAverage="0" bottom="0" percent="0" rank="0" text="" dxfId="0">
      <formula>"R"</formula>
    </cfRule>
    <cfRule type="cellIs" priority="105" operator="equal" aboveAverage="0" equalAverage="0" bottom="0" percent="0" rank="0" text="" dxfId="1">
      <formula>"A"</formula>
    </cfRule>
    <cfRule type="cellIs" priority="106" operator="equal" aboveAverage="0" equalAverage="0" bottom="0" percent="0" rank="0" text="" dxfId="2">
      <formula>"G"</formula>
    </cfRule>
  </conditionalFormatting>
  <conditionalFormatting sqref="H88">
    <cfRule type="cellIs" priority="107" operator="equal" aboveAverage="0" equalAverage="0" bottom="0" percent="0" rank="0" text="" dxfId="0">
      <formula>"R"</formula>
    </cfRule>
    <cfRule type="cellIs" priority="108" operator="equal" aboveAverage="0" equalAverage="0" bottom="0" percent="0" rank="0" text="" dxfId="1">
      <formula>"A"</formula>
    </cfRule>
    <cfRule type="cellIs" priority="109" operator="equal" aboveAverage="0" equalAverage="0" bottom="0" percent="0" rank="0" text="" dxfId="2">
      <formula>"G"</formula>
    </cfRule>
  </conditionalFormatting>
  <dataValidations count="142">
    <dataValidation allowBlank="true" error="Enter R, A or G" errorStyle="stop" errorTitle="Invalid RAG" operator="between" showDropDown="false" showErrorMessage="false" showInputMessage="false" sqref="C9:J9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C10:J10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C11:J11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F24:G24" type="list">
      <formula1>"R,A,G"</formula1>
      <formula2>0</formula2>
    </dataValidation>
    <dataValidation allowBlank="true" error="Enter R, A or G" errorStyle="stop" errorTitle="Invalid RAG" operator="between" showDropDown="false" showErrorMessage="false" showInputMessage="false" sqref="H27" type="list">
      <formula1>"R,A,G"</formula1>
      <formula2>0</formula2>
    </dataValidation>
    <dataValidation allowBlank="true" errorStyle="stop" operator="between" showDropDown="false" showErrorMessage="false" showInputMessage="false" sqref="I27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28" type="list">
      <formula1>"R,A,G"</formula1>
      <formula2>0</formula2>
    </dataValidation>
    <dataValidation allowBlank="true" errorStyle="stop" operator="between" showDropDown="false" showErrorMessage="false" showInputMessage="false" sqref="I28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29" type="list">
      <formula1>"R,A,G"</formula1>
      <formula2>0</formula2>
    </dataValidation>
    <dataValidation allowBlank="true" errorStyle="stop" operator="between" showDropDown="false" showErrorMessage="false" showInputMessage="false" sqref="I29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0" type="list">
      <formula1>"R,A,G"</formula1>
      <formula2>0</formula2>
    </dataValidation>
    <dataValidation allowBlank="true" errorStyle="stop" operator="between" showDropDown="false" showErrorMessage="false" showInputMessage="false" sqref="I30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1" type="list">
      <formula1>"R,A,G"</formula1>
      <formula2>0</formula2>
    </dataValidation>
    <dataValidation allowBlank="true" errorStyle="stop" operator="between" showDropDown="false" showErrorMessage="false" showInputMessage="false" sqref="I31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2" type="list">
      <formula1>"R,A,G"</formula1>
      <formula2>0</formula2>
    </dataValidation>
    <dataValidation allowBlank="true" errorStyle="stop" operator="between" showDropDown="false" showErrorMessage="false" showInputMessage="false" sqref="I32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3" type="list">
      <formula1>"R,A,G"</formula1>
      <formula2>0</formula2>
    </dataValidation>
    <dataValidation allowBlank="true" errorStyle="stop" operator="between" showDropDown="false" showErrorMessage="false" showInputMessage="false" sqref="I33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4" type="list">
      <formula1>"R,A,G"</formula1>
      <formula2>0</formula2>
    </dataValidation>
    <dataValidation allowBlank="true" errorStyle="stop" operator="between" showDropDown="false" showErrorMessage="false" showInputMessage="false" sqref="I34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5" type="list">
      <formula1>"R,A,G"</formula1>
      <formula2>0</formula2>
    </dataValidation>
    <dataValidation allowBlank="true" errorStyle="stop" operator="between" showDropDown="false" showErrorMessage="false" showInputMessage="false" sqref="I35" type="list">
      <formula1>"Not Started,In Progress,Completed,Delayed,Cancelled"</formula1>
      <formula2>0</formula2>
    </dataValidation>
    <dataValidation allowBlank="true" error="Enter R, A or G" errorStyle="stop" errorTitle="Invalid RAG" operator="between" showDropDown="false" showErrorMessage="false" showInputMessage="false" sqref="H36" type="list">
      <formula1>"R,A,G"</formula1>
      <formula2>0</formula2>
    </dataValidation>
    <dataValidation allowBlank="true" errorStyle="stop" operator="between" showDropDown="false" showErrorMessage="false" showInputMessage="false" sqref="I36" type="list">
      <formula1>"Not Started,In Progress,Completed,Delayed,Cancelled"</formula1>
      <formula2>0</formula2>
    </dataValidation>
    <dataValidation allowBlank="true" errorStyle="stop" operator="between" showDropDown="false" showErrorMessage="false" showInputMessage="false" sqref="E39" type="list">
      <formula1>"H,M,L"</formula1>
      <formula2>0</formula2>
    </dataValidation>
    <dataValidation allowBlank="true" errorStyle="stop" operator="between" showDropDown="false" showErrorMessage="false" showInputMessage="false" sqref="F39" type="list">
      <formula1>"H,M,L"</formula1>
      <formula2>0</formula2>
    </dataValidation>
    <dataValidation allowBlank="true" errorStyle="stop" operator="between" showDropDown="false" showErrorMessage="false" showInputMessage="false" sqref="K39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39" type="list">
      <formula1>"R,A,G"</formula1>
      <formula2>0</formula2>
    </dataValidation>
    <dataValidation allowBlank="true" errorStyle="stop" operator="between" showDropDown="false" showErrorMessage="false" showInputMessage="false" sqref="E40" type="list">
      <formula1>"H,M,L"</formula1>
      <formula2>0</formula2>
    </dataValidation>
    <dataValidation allowBlank="true" errorStyle="stop" operator="between" showDropDown="false" showErrorMessage="false" showInputMessage="false" sqref="F40" type="list">
      <formula1>"H,M,L"</formula1>
      <formula2>0</formula2>
    </dataValidation>
    <dataValidation allowBlank="true" errorStyle="stop" operator="between" showDropDown="false" showErrorMessage="false" showInputMessage="false" sqref="K40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0" type="list">
      <formula1>"R,A,G"</formula1>
      <formula2>0</formula2>
    </dataValidation>
    <dataValidation allowBlank="true" errorStyle="stop" operator="between" showDropDown="false" showErrorMessage="false" showInputMessage="false" sqref="E41" type="list">
      <formula1>"H,M,L"</formula1>
      <formula2>0</formula2>
    </dataValidation>
    <dataValidation allowBlank="true" errorStyle="stop" operator="between" showDropDown="false" showErrorMessage="false" showInputMessage="false" sqref="F41" type="list">
      <formula1>"H,M,L"</formula1>
      <formula2>0</formula2>
    </dataValidation>
    <dataValidation allowBlank="true" errorStyle="stop" operator="between" showDropDown="false" showErrorMessage="false" showInputMessage="false" sqref="K41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1" type="list">
      <formula1>"R,A,G"</formula1>
      <formula2>0</formula2>
    </dataValidation>
    <dataValidation allowBlank="true" errorStyle="stop" operator="between" showDropDown="false" showErrorMessage="false" showInputMessage="false" sqref="E42" type="list">
      <formula1>"H,M,L"</formula1>
      <formula2>0</formula2>
    </dataValidation>
    <dataValidation allowBlank="true" errorStyle="stop" operator="between" showDropDown="false" showErrorMessage="false" showInputMessage="false" sqref="F42" type="list">
      <formula1>"H,M,L"</formula1>
      <formula2>0</formula2>
    </dataValidation>
    <dataValidation allowBlank="true" errorStyle="stop" operator="between" showDropDown="false" showErrorMessage="false" showInputMessage="false" sqref="K42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2" type="list">
      <formula1>"R,A,G"</formula1>
      <formula2>0</formula2>
    </dataValidation>
    <dataValidation allowBlank="true" errorStyle="stop" operator="between" showDropDown="false" showErrorMessage="false" showInputMessage="false" sqref="E43" type="list">
      <formula1>"H,M,L"</formula1>
      <formula2>0</formula2>
    </dataValidation>
    <dataValidation allowBlank="true" errorStyle="stop" operator="between" showDropDown="false" showErrorMessage="false" showInputMessage="false" sqref="F43" type="list">
      <formula1>"H,M,L"</formula1>
      <formula2>0</formula2>
    </dataValidation>
    <dataValidation allowBlank="true" errorStyle="stop" operator="between" showDropDown="false" showErrorMessage="false" showInputMessage="false" sqref="K43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3" type="list">
      <formula1>"R,A,G"</formula1>
      <formula2>0</formula2>
    </dataValidation>
    <dataValidation allowBlank="true" errorStyle="stop" operator="between" showDropDown="false" showErrorMessage="false" showInputMessage="false" sqref="E44" type="list">
      <formula1>"H,M,L"</formula1>
      <formula2>0</formula2>
    </dataValidation>
    <dataValidation allowBlank="true" errorStyle="stop" operator="between" showDropDown="false" showErrorMessage="false" showInputMessage="false" sqref="F44" type="list">
      <formula1>"H,M,L"</formula1>
      <formula2>0</formula2>
    </dataValidation>
    <dataValidation allowBlank="true" errorStyle="stop" operator="between" showDropDown="false" showErrorMessage="false" showInputMessage="false" sqref="K44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4" type="list">
      <formula1>"R,A,G"</formula1>
      <formula2>0</formula2>
    </dataValidation>
    <dataValidation allowBlank="true" errorStyle="stop" operator="between" showDropDown="false" showErrorMessage="false" showInputMessage="false" sqref="E45" type="list">
      <formula1>"H,M,L"</formula1>
      <formula2>0</formula2>
    </dataValidation>
    <dataValidation allowBlank="true" errorStyle="stop" operator="between" showDropDown="false" showErrorMessage="false" showInputMessage="false" sqref="F45" type="list">
      <formula1>"H,M,L"</formula1>
      <formula2>0</formula2>
    </dataValidation>
    <dataValidation allowBlank="true" errorStyle="stop" operator="between" showDropDown="false" showErrorMessage="false" showInputMessage="false" sqref="K45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5" type="list">
      <formula1>"R,A,G"</formula1>
      <formula2>0</formula2>
    </dataValidation>
    <dataValidation allowBlank="true" errorStyle="stop" operator="between" showDropDown="false" showErrorMessage="false" showInputMessage="false" sqref="E46" type="list">
      <formula1>"H,M,L"</formula1>
      <formula2>0</formula2>
    </dataValidation>
    <dataValidation allowBlank="true" errorStyle="stop" operator="between" showDropDown="false" showErrorMessage="false" showInputMessage="false" sqref="F46" type="list">
      <formula1>"H,M,L"</formula1>
      <formula2>0</formula2>
    </dataValidation>
    <dataValidation allowBlank="true" errorStyle="stop" operator="between" showDropDown="false" showErrorMessage="false" showInputMessage="false" sqref="K46" type="list">
      <formula1>"Open,Mitigating,Closed,Accepted"</formula1>
      <formula2>0</formula2>
    </dataValidation>
    <dataValidation allowBlank="true" error="Enter R, A or G" errorStyle="stop" errorTitle="Invalid RAG" operator="between" showDropDown="false" showErrorMessage="false" showInputMessage="false" sqref="L46" type="list">
      <formula1>"R,A,G"</formula1>
      <formula2>0</formula2>
    </dataValidation>
    <dataValidation allowBlank="true" errorStyle="stop" operator="between" showDropDown="false" showErrorMessage="false" showInputMessage="false" sqref="E49" type="list">
      <formula1>"H,M,L"</formula1>
      <formula2>0</formula2>
    </dataValidation>
    <dataValidation allowBlank="true" errorStyle="stop" operator="between" showDropDown="false" showErrorMessage="false" showInputMessage="false" sqref="K49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49" type="list">
      <formula1>"R,A,G"</formula1>
      <formula2>0</formula2>
    </dataValidation>
    <dataValidation allowBlank="true" errorStyle="stop" operator="between" showDropDown="false" showErrorMessage="false" showInputMessage="false" sqref="E50" type="list">
      <formula1>"H,M,L"</formula1>
      <formula2>0</formula2>
    </dataValidation>
    <dataValidation allowBlank="true" errorStyle="stop" operator="between" showDropDown="false" showErrorMessage="false" showInputMessage="false" sqref="K50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0" type="list">
      <formula1>"R,A,G"</formula1>
      <formula2>0</formula2>
    </dataValidation>
    <dataValidation allowBlank="true" errorStyle="stop" operator="between" showDropDown="false" showErrorMessage="false" showInputMessage="false" sqref="E51" type="list">
      <formula1>"H,M,L"</formula1>
      <formula2>0</formula2>
    </dataValidation>
    <dataValidation allowBlank="true" errorStyle="stop" operator="between" showDropDown="false" showErrorMessage="false" showInputMessage="false" sqref="K51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1" type="list">
      <formula1>"R,A,G"</formula1>
      <formula2>0</formula2>
    </dataValidation>
    <dataValidation allowBlank="true" errorStyle="stop" operator="between" showDropDown="false" showErrorMessage="false" showInputMessage="false" sqref="E52" type="list">
      <formula1>"H,M,L"</formula1>
      <formula2>0</formula2>
    </dataValidation>
    <dataValidation allowBlank="true" errorStyle="stop" operator="between" showDropDown="false" showErrorMessage="false" showInputMessage="false" sqref="K52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2" type="list">
      <formula1>"R,A,G"</formula1>
      <formula2>0</formula2>
    </dataValidation>
    <dataValidation allowBlank="true" errorStyle="stop" operator="between" showDropDown="false" showErrorMessage="false" showInputMessage="false" sqref="E53" type="list">
      <formula1>"H,M,L"</formula1>
      <formula2>0</formula2>
    </dataValidation>
    <dataValidation allowBlank="true" errorStyle="stop" operator="between" showDropDown="false" showErrorMessage="false" showInputMessage="false" sqref="K53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3" type="list">
      <formula1>"R,A,G"</formula1>
      <formula2>0</formula2>
    </dataValidation>
    <dataValidation allowBlank="true" errorStyle="stop" operator="between" showDropDown="false" showErrorMessage="false" showInputMessage="false" sqref="E54" type="list">
      <formula1>"H,M,L"</formula1>
      <formula2>0</formula2>
    </dataValidation>
    <dataValidation allowBlank="true" errorStyle="stop" operator="between" showDropDown="false" showErrorMessage="false" showInputMessage="false" sqref="K54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4" type="list">
      <formula1>"R,A,G"</formula1>
      <formula2>0</formula2>
    </dataValidation>
    <dataValidation allowBlank="true" errorStyle="stop" operator="between" showDropDown="false" showErrorMessage="false" showInputMessage="false" sqref="E55" type="list">
      <formula1>"H,M,L"</formula1>
      <formula2>0</formula2>
    </dataValidation>
    <dataValidation allowBlank="true" errorStyle="stop" operator="between" showDropDown="false" showErrorMessage="false" showInputMessage="false" sqref="K55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5" type="list">
      <formula1>"R,A,G"</formula1>
      <formula2>0</formula2>
    </dataValidation>
    <dataValidation allowBlank="true" errorStyle="stop" operator="between" showDropDown="false" showErrorMessage="false" showInputMessage="false" sqref="E56" type="list">
      <formula1>"H,M,L"</formula1>
      <formula2>0</formula2>
    </dataValidation>
    <dataValidation allowBlank="true" errorStyle="stop" operator="between" showDropDown="false" showErrorMessage="false" showInputMessage="false" sqref="K56" type="list">
      <formula1>"Open,In Progress,Resolved,Closed,Escalated"</formula1>
      <formula2>0</formula2>
    </dataValidation>
    <dataValidation allowBlank="true" error="Enter R, A or G" errorStyle="stop" errorTitle="Invalid RAG" operator="between" showDropDown="false" showErrorMessage="false" showInputMessage="false" sqref="L56" type="list">
      <formula1>"R,A,G"</formula1>
      <formula2>0</formula2>
    </dataValidation>
    <dataValidation allowBlank="true" errorStyle="stop" operator="between" showDropDown="false" showErrorMessage="false" showInputMessage="false" sqref="G59" type="list">
      <formula1>"Critical,High,Medium,Low"</formula1>
      <formula2>0</formula2>
    </dataValidation>
    <dataValidation allowBlank="true" errorStyle="stop" operator="between" showDropDown="false" showErrorMessage="false" showInputMessage="false" sqref="J59" type="list">
      <formula1>"Open,Pending Decision,Resolved,Closed"</formula1>
      <formula2>0</formula2>
    </dataValidation>
    <dataValidation allowBlank="true" errorStyle="stop" operator="between" showDropDown="false" showErrorMessage="false" showInputMessage="false" sqref="G60" type="list">
      <formula1>"Critical,High,Medium,Low"</formula1>
      <formula2>0</formula2>
    </dataValidation>
    <dataValidation allowBlank="true" errorStyle="stop" operator="between" showDropDown="false" showErrorMessage="false" showInputMessage="false" sqref="J60" type="list">
      <formula1>"Open,Pending Decision,Resolved,Closed"</formula1>
      <formula2>0</formula2>
    </dataValidation>
    <dataValidation allowBlank="true" errorStyle="stop" operator="between" showDropDown="false" showErrorMessage="false" showInputMessage="false" sqref="G61" type="list">
      <formula1>"Critical,High,Medium,Low"</formula1>
      <formula2>0</formula2>
    </dataValidation>
    <dataValidation allowBlank="true" errorStyle="stop" operator="between" showDropDown="false" showErrorMessage="false" showInputMessage="false" sqref="J61" type="list">
      <formula1>"Open,Pending Decision,Resolved,Closed"</formula1>
      <formula2>0</formula2>
    </dataValidation>
    <dataValidation allowBlank="true" errorStyle="stop" operator="between" showDropDown="false" showErrorMessage="false" showInputMessage="false" sqref="G62" type="list">
      <formula1>"Critical,High,Medium,Low"</formula1>
      <formula2>0</formula2>
    </dataValidation>
    <dataValidation allowBlank="true" errorStyle="stop" operator="between" showDropDown="false" showErrorMessage="false" showInputMessage="false" sqref="J62" type="list">
      <formula1>"Open,Pending Decision,Resolved,Closed"</formula1>
      <formula2>0</formula2>
    </dataValidation>
    <dataValidation allowBlank="true" errorStyle="stop" operator="between" showDropDown="false" showErrorMessage="false" showInputMessage="false" sqref="G63" type="list">
      <formula1>"Critical,High,Medium,Low"</formula1>
      <formula2>0</formula2>
    </dataValidation>
    <dataValidation allowBlank="true" errorStyle="stop" operator="between" showDropDown="false" showErrorMessage="false" showInputMessage="false" sqref="J63" type="list">
      <formula1>"Open,Pending Decision,Resolved,Closed"</formula1>
      <formula2>0</formula2>
    </dataValidation>
    <dataValidation allowBlank="true" errorStyle="stop" operator="between" showDropDown="false" showErrorMessage="false" showInputMessage="false" sqref="D66" type="list">
      <formula1>"Action,Decision,Information"</formula1>
      <formula2>0</formula2>
    </dataValidation>
    <dataValidation allowBlank="true" errorStyle="stop" operator="between" showDropDown="false" showErrorMessage="false" showInputMessage="false" sqref="H66" type="list">
      <formula1>"Critical,High,Medium,Low"</formula1>
      <formula2>0</formula2>
    </dataValidation>
    <dataValidation allowBlank="true" errorStyle="stop" operator="between" showDropDown="false" showErrorMessage="false" showInputMessage="false" sqref="I66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67" type="list">
      <formula1>"Action,Decision,Information"</formula1>
      <formula2>0</formula2>
    </dataValidation>
    <dataValidation allowBlank="true" errorStyle="stop" operator="between" showDropDown="false" showErrorMessage="false" showInputMessage="false" sqref="H67" type="list">
      <formula1>"Critical,High,Medium,Low"</formula1>
      <formula2>0</formula2>
    </dataValidation>
    <dataValidation allowBlank="true" errorStyle="stop" operator="between" showDropDown="false" showErrorMessage="false" showInputMessage="false" sqref="I67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68" type="list">
      <formula1>"Action,Decision,Information"</formula1>
      <formula2>0</formula2>
    </dataValidation>
    <dataValidation allowBlank="true" errorStyle="stop" operator="between" showDropDown="false" showErrorMessage="false" showInputMessage="false" sqref="H68" type="list">
      <formula1>"Critical,High,Medium,Low"</formula1>
      <formula2>0</formula2>
    </dataValidation>
    <dataValidation allowBlank="true" errorStyle="stop" operator="between" showDropDown="false" showErrorMessage="false" showInputMessage="false" sqref="I68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69" type="list">
      <formula1>"Action,Decision,Information"</formula1>
      <formula2>0</formula2>
    </dataValidation>
    <dataValidation allowBlank="true" errorStyle="stop" operator="between" showDropDown="false" showErrorMessage="false" showInputMessage="false" sqref="H69" type="list">
      <formula1>"Critical,High,Medium,Low"</formula1>
      <formula2>0</formula2>
    </dataValidation>
    <dataValidation allowBlank="true" errorStyle="stop" operator="between" showDropDown="false" showErrorMessage="false" showInputMessage="false" sqref="I69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70" type="list">
      <formula1>"Action,Decision,Information"</formula1>
      <formula2>0</formula2>
    </dataValidation>
    <dataValidation allowBlank="true" errorStyle="stop" operator="between" showDropDown="false" showErrorMessage="false" showInputMessage="false" sqref="H70" type="list">
      <formula1>"Critical,High,Medium,Low"</formula1>
      <formula2>0</formula2>
    </dataValidation>
    <dataValidation allowBlank="true" errorStyle="stop" operator="between" showDropDown="false" showErrorMessage="false" showInputMessage="false" sqref="I70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71" type="list">
      <formula1>"Action,Decision,Information"</formula1>
      <formula2>0</formula2>
    </dataValidation>
    <dataValidation allowBlank="true" errorStyle="stop" operator="between" showDropDown="false" showErrorMessage="false" showInputMessage="false" sqref="H71" type="list">
      <formula1>"Critical,High,Medium,Low"</formula1>
      <formula2>0</formula2>
    </dataValidation>
    <dataValidation allowBlank="true" errorStyle="stop" operator="between" showDropDown="false" showErrorMessage="false" showInputMessage="false" sqref="I71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72" type="list">
      <formula1>"Action,Decision,Information"</formula1>
      <formula2>0</formula2>
    </dataValidation>
    <dataValidation allowBlank="true" errorStyle="stop" operator="between" showDropDown="false" showErrorMessage="false" showInputMessage="false" sqref="H72" type="list">
      <formula1>"Critical,High,Medium,Low"</formula1>
      <formula2>0</formula2>
    </dataValidation>
    <dataValidation allowBlank="true" errorStyle="stop" operator="between" showDropDown="false" showErrorMessage="false" showInputMessage="false" sqref="I72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73" type="list">
      <formula1>"Action,Decision,Information"</formula1>
      <formula2>0</formula2>
    </dataValidation>
    <dataValidation allowBlank="true" errorStyle="stop" operator="between" showDropDown="false" showErrorMessage="false" showInputMessage="false" sqref="H73" type="list">
      <formula1>"Critical,High,Medium,Low"</formula1>
      <formula2>0</formula2>
    </dataValidation>
    <dataValidation allowBlank="true" errorStyle="stop" operator="between" showDropDown="false" showErrorMessage="false" showInputMessage="false" sqref="I73" type="list">
      <formula1>"Not Started,In Progress,Completed,Overdue,Cancelled"</formula1>
      <formula2>0</formula2>
    </dataValidation>
    <dataValidation allowBlank="true" errorStyle="stop" operator="between" showDropDown="false" showErrorMessage="false" showInputMessage="false" sqref="D76" type="list">
      <formula1>"Budget,Schedule,Resource,Risk,Dependency,Governance,Regulatory,Vendor"</formula1>
      <formula2>0</formula2>
    </dataValidation>
    <dataValidation allowBlank="true" errorStyle="stop" operator="between" showDropDown="false" showErrorMessage="false" showInputMessage="false" sqref="I76" type="list">
      <formula1>"Pending,Decision Taken,Monitoring,Closed"</formula1>
      <formula2>0</formula2>
    </dataValidation>
    <dataValidation allowBlank="true" errorStyle="stop" operator="between" showDropDown="false" showErrorMessage="false" showInputMessage="false" sqref="D77" type="list">
      <formula1>"Budget,Schedule,Resource,Risk,Dependency,Governance,Regulatory,Vendor"</formula1>
      <formula2>0</formula2>
    </dataValidation>
    <dataValidation allowBlank="true" errorStyle="stop" operator="between" showDropDown="false" showErrorMessage="false" showInputMessage="false" sqref="I77" type="list">
      <formula1>"Pending,Decision Taken,Monitoring,Closed"</formula1>
      <formula2>0</formula2>
    </dataValidation>
    <dataValidation allowBlank="true" errorStyle="stop" operator="between" showDropDown="false" showErrorMessage="false" showInputMessage="false" sqref="D78" type="list">
      <formula1>"Budget,Schedule,Resource,Risk,Dependency,Governance,Regulatory,Vendor"</formula1>
      <formula2>0</formula2>
    </dataValidation>
    <dataValidation allowBlank="true" errorStyle="stop" operator="between" showDropDown="false" showErrorMessage="false" showInputMessage="false" sqref="I78" type="list">
      <formula1>"Pending,Decision Taken,Monitoring,Closed"</formula1>
      <formula2>0</formula2>
    </dataValidation>
    <dataValidation allowBlank="true" errorStyle="stop" operator="between" showDropDown="false" showErrorMessage="false" showInputMessage="false" sqref="D79" type="list">
      <formula1>"Budget,Schedule,Resource,Risk,Dependency,Governance,Regulatory,Vendor"</formula1>
      <formula2>0</formula2>
    </dataValidation>
    <dataValidation allowBlank="true" errorStyle="stop" operator="between" showDropDown="false" showErrorMessage="false" showInputMessage="false" sqref="I79" type="list">
      <formula1>"Pending,Decision Taken,Monitoring,Closed"</formula1>
      <formula2>0</formula2>
    </dataValidation>
    <dataValidation allowBlank="true" errorStyle="stop" operator="between" showDropDown="false" showErrorMessage="false" showInputMessage="false" sqref="D80" type="list">
      <formula1>"Budget,Schedule,Resource,Risk,Dependency,Governance,Regulatory,Vendor"</formula1>
      <formula2>0</formula2>
    </dataValidation>
    <dataValidation allowBlank="true" errorStyle="stop" operator="between" showDropDown="false" showErrorMessage="false" showInputMessage="false" sqref="I80" type="list">
      <formula1>"Pending,Decision Taken,Monitoring,Closed"</formula1>
      <formula2>0</formula2>
    </dataValidation>
    <dataValidation allowBlank="true" errorStyle="stop" operator="between" showDropDown="false" showErrorMessage="false" showInputMessage="false" sqref="E83" type="list">
      <formula1>"Internal,External,Cross-Programme"</formula1>
      <formula2>0</formula2>
    </dataValidation>
    <dataValidation allowBlank="true" error="Enter R, A or G" errorStyle="stop" errorTitle="Invalid RAG" operator="between" showDropDown="false" showErrorMessage="false" showInputMessage="false" sqref="H83" type="list">
      <formula1>"R,A,G"</formula1>
      <formula2>0</formula2>
    </dataValidation>
    <dataValidation allowBlank="true" errorStyle="stop" operator="between" showDropDown="false" showErrorMessage="false" showInputMessage="false" sqref="I83" type="list">
      <formula1>"On Track,At Risk,Delayed,Resolved"</formula1>
      <formula2>0</formula2>
    </dataValidation>
    <dataValidation allowBlank="true" errorStyle="stop" operator="between" showDropDown="false" showErrorMessage="false" showInputMessage="false" sqref="E84" type="list">
      <formula1>"Internal,External,Cross-Programme"</formula1>
      <formula2>0</formula2>
    </dataValidation>
    <dataValidation allowBlank="true" error="Enter R, A or G" errorStyle="stop" errorTitle="Invalid RAG" operator="between" showDropDown="false" showErrorMessage="false" showInputMessage="false" sqref="H84" type="list">
      <formula1>"R,A,G"</formula1>
      <formula2>0</formula2>
    </dataValidation>
    <dataValidation allowBlank="true" errorStyle="stop" operator="between" showDropDown="false" showErrorMessage="false" showInputMessage="false" sqref="I84" type="list">
      <formula1>"On Track,At Risk,Delayed,Resolved"</formula1>
      <formula2>0</formula2>
    </dataValidation>
    <dataValidation allowBlank="true" errorStyle="stop" operator="between" showDropDown="false" showErrorMessage="false" showInputMessage="false" sqref="E85" type="list">
      <formula1>"Internal,External,Cross-Programme"</formula1>
      <formula2>0</formula2>
    </dataValidation>
    <dataValidation allowBlank="true" error="Enter R, A or G" errorStyle="stop" errorTitle="Invalid RAG" operator="between" showDropDown="false" showErrorMessage="false" showInputMessage="false" sqref="H85" type="list">
      <formula1>"R,A,G"</formula1>
      <formula2>0</formula2>
    </dataValidation>
    <dataValidation allowBlank="true" errorStyle="stop" operator="between" showDropDown="false" showErrorMessage="false" showInputMessage="false" sqref="I85" type="list">
      <formula1>"On Track,At Risk,Delayed,Resolved"</formula1>
      <formula2>0</formula2>
    </dataValidation>
    <dataValidation allowBlank="true" errorStyle="stop" operator="between" showDropDown="false" showErrorMessage="false" showInputMessage="false" sqref="E86" type="list">
      <formula1>"Internal,External,Cross-Programme"</formula1>
      <formula2>0</formula2>
    </dataValidation>
    <dataValidation allowBlank="true" error="Enter R, A or G" errorStyle="stop" errorTitle="Invalid RAG" operator="between" showDropDown="false" showErrorMessage="false" showInputMessage="false" sqref="H86" type="list">
      <formula1>"R,A,G"</formula1>
      <formula2>0</formula2>
    </dataValidation>
    <dataValidation allowBlank="true" errorStyle="stop" operator="between" showDropDown="false" showErrorMessage="false" showInputMessage="false" sqref="I86" type="list">
      <formula1>"On Track,At Risk,Delayed,Resolved"</formula1>
      <formula2>0</formula2>
    </dataValidation>
    <dataValidation allowBlank="true" errorStyle="stop" operator="between" showDropDown="false" showErrorMessage="false" showInputMessage="false" sqref="E87" type="list">
      <formula1>"Internal,External,Cross-Programme"</formula1>
      <formula2>0</formula2>
    </dataValidation>
    <dataValidation allowBlank="true" error="Enter R, A or G" errorStyle="stop" errorTitle="Invalid RAG" operator="between" showDropDown="false" showErrorMessage="false" showInputMessage="false" sqref="H87" type="list">
      <formula1>"R,A,G"</formula1>
      <formula2>0</formula2>
    </dataValidation>
    <dataValidation allowBlank="true" errorStyle="stop" operator="between" showDropDown="false" showErrorMessage="false" showInputMessage="false" sqref="I87" type="list">
      <formula1>"On Track,At Risk,Delayed,Resolved"</formula1>
      <formula2>0</formula2>
    </dataValidation>
    <dataValidation allowBlank="true" errorStyle="stop" operator="between" showDropDown="false" showErrorMessage="false" showInputMessage="false" sqref="E88" type="list">
      <formula1>"Internal,External,Cross-Programme"</formula1>
      <formula2>0</formula2>
    </dataValidation>
    <dataValidation allowBlank="true" error="Enter R, A or G" errorStyle="stop" errorTitle="Invalid RAG" operator="between" showDropDown="false" showErrorMessage="false" showInputMessage="false" sqref="H88" type="list">
      <formula1>"R,A,G"</formula1>
      <formula2>0</formula2>
    </dataValidation>
    <dataValidation allowBlank="true" errorStyle="stop" operator="between" showDropDown="false" showErrorMessage="false" showInputMessage="false" sqref="I88" type="list">
      <formula1>"On Track,At Risk,Delayed,Resolved"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20"/>
  </cols>
  <sheetData>
    <row r="1" customFormat="false" ht="30" hidden="false" customHeight="true" outlineLevel="0" collapsed="false">
      <c r="A1" s="18" t="s">
        <v>126</v>
      </c>
      <c r="B1" s="18"/>
      <c r="C1" s="18"/>
      <c r="D1" s="18"/>
      <c r="E1" s="18"/>
      <c r="F1" s="18"/>
    </row>
    <row r="2" customFormat="false" ht="21.75" hidden="false" customHeight="true" outlineLevel="0" collapsed="false">
      <c r="A2" s="23" t="s">
        <v>127</v>
      </c>
      <c r="B2" s="23"/>
      <c r="C2" s="23"/>
      <c r="D2" s="23"/>
      <c r="E2" s="23"/>
      <c r="F2" s="23"/>
    </row>
    <row r="3" customFormat="false" ht="30" hidden="false" customHeight="true" outlineLevel="0" collapsed="false">
      <c r="A3" s="60" t="s">
        <v>128</v>
      </c>
      <c r="B3" s="61" t="s">
        <v>129</v>
      </c>
      <c r="C3" s="61"/>
      <c r="D3" s="61"/>
      <c r="E3" s="61"/>
      <c r="F3" s="61"/>
    </row>
    <row r="4" customFormat="false" ht="30" hidden="false" customHeight="true" outlineLevel="0" collapsed="false">
      <c r="A4" s="60" t="s">
        <v>130</v>
      </c>
      <c r="B4" s="62" t="s">
        <v>131</v>
      </c>
      <c r="C4" s="62"/>
      <c r="D4" s="62"/>
      <c r="E4" s="62"/>
      <c r="F4" s="62"/>
    </row>
    <row r="6" customFormat="false" ht="21.75" hidden="false" customHeight="true" outlineLevel="0" collapsed="false">
      <c r="A6" s="23" t="s">
        <v>132</v>
      </c>
      <c r="B6" s="23"/>
      <c r="C6" s="23"/>
      <c r="D6" s="23"/>
      <c r="E6" s="23"/>
      <c r="F6" s="23"/>
    </row>
    <row r="7" customFormat="false" ht="30" hidden="false" customHeight="true" outlineLevel="0" collapsed="false">
      <c r="A7" s="60" t="s">
        <v>133</v>
      </c>
      <c r="B7" s="61" t="s">
        <v>134</v>
      </c>
      <c r="C7" s="61"/>
      <c r="D7" s="61"/>
      <c r="E7" s="61"/>
      <c r="F7" s="61"/>
    </row>
    <row r="8" customFormat="false" ht="30" hidden="false" customHeight="true" outlineLevel="0" collapsed="false">
      <c r="A8" s="60" t="s">
        <v>135</v>
      </c>
      <c r="B8" s="62" t="s">
        <v>136</v>
      </c>
      <c r="C8" s="62"/>
      <c r="D8" s="62"/>
      <c r="E8" s="62"/>
      <c r="F8" s="62"/>
    </row>
    <row r="9" customFormat="false" ht="30" hidden="false" customHeight="true" outlineLevel="0" collapsed="false">
      <c r="A9" s="60" t="s">
        <v>137</v>
      </c>
      <c r="B9" s="61" t="s">
        <v>138</v>
      </c>
      <c r="C9" s="61"/>
      <c r="D9" s="61"/>
      <c r="E9" s="61"/>
      <c r="F9" s="61"/>
    </row>
    <row r="11" customFormat="false" ht="21.75" hidden="false" customHeight="true" outlineLevel="0" collapsed="false">
      <c r="A11" s="23" t="s">
        <v>139</v>
      </c>
      <c r="B11" s="23"/>
      <c r="C11" s="23"/>
      <c r="D11" s="23"/>
      <c r="E11" s="23"/>
      <c r="F11" s="23"/>
    </row>
    <row r="12" customFormat="false" ht="30" hidden="false" customHeight="true" outlineLevel="0" collapsed="false">
      <c r="A12" s="60" t="s">
        <v>140</v>
      </c>
      <c r="B12" s="62" t="s">
        <v>141</v>
      </c>
      <c r="C12" s="62"/>
      <c r="D12" s="62"/>
      <c r="E12" s="62"/>
      <c r="F12" s="62"/>
    </row>
    <row r="13" customFormat="false" ht="30" hidden="false" customHeight="true" outlineLevel="0" collapsed="false">
      <c r="A13" s="60" t="s">
        <v>142</v>
      </c>
      <c r="B13" s="61" t="s">
        <v>143</v>
      </c>
      <c r="C13" s="61"/>
      <c r="D13" s="61"/>
      <c r="E13" s="61"/>
      <c r="F13" s="61"/>
    </row>
    <row r="14" customFormat="false" ht="30" hidden="false" customHeight="true" outlineLevel="0" collapsed="false">
      <c r="A14" s="60" t="s">
        <v>144</v>
      </c>
      <c r="B14" s="62" t="s">
        <v>145</v>
      </c>
      <c r="C14" s="62"/>
      <c r="D14" s="62"/>
      <c r="E14" s="62"/>
      <c r="F14" s="62"/>
    </row>
    <row r="15" customFormat="false" ht="30" hidden="false" customHeight="true" outlineLevel="0" collapsed="false">
      <c r="A15" s="60" t="s">
        <v>146</v>
      </c>
      <c r="B15" s="61" t="s">
        <v>147</v>
      </c>
      <c r="C15" s="61"/>
      <c r="D15" s="61"/>
      <c r="E15" s="61"/>
      <c r="F15" s="61"/>
    </row>
    <row r="16" customFormat="false" ht="30" hidden="false" customHeight="true" outlineLevel="0" collapsed="false">
      <c r="A16" s="60" t="s">
        <v>148</v>
      </c>
      <c r="B16" s="62" t="s">
        <v>149</v>
      </c>
      <c r="C16" s="62"/>
      <c r="D16" s="62"/>
      <c r="E16" s="62"/>
      <c r="F16" s="62"/>
    </row>
    <row r="17" customFormat="false" ht="30" hidden="false" customHeight="true" outlineLevel="0" collapsed="false">
      <c r="A17" s="60" t="s">
        <v>150</v>
      </c>
      <c r="B17" s="61" t="s">
        <v>151</v>
      </c>
      <c r="C17" s="61"/>
      <c r="D17" s="61"/>
      <c r="E17" s="61"/>
      <c r="F17" s="61"/>
    </row>
    <row r="18" customFormat="false" ht="30" hidden="false" customHeight="true" outlineLevel="0" collapsed="false">
      <c r="A18" s="60" t="s">
        <v>152</v>
      </c>
      <c r="B18" s="62" t="s">
        <v>153</v>
      </c>
      <c r="C18" s="62"/>
      <c r="D18" s="62"/>
      <c r="E18" s="62"/>
      <c r="F18" s="62"/>
    </row>
    <row r="19" customFormat="false" ht="30" hidden="false" customHeight="true" outlineLevel="0" collapsed="false">
      <c r="A19" s="60" t="s">
        <v>154</v>
      </c>
      <c r="B19" s="61" t="s">
        <v>155</v>
      </c>
      <c r="C19" s="61"/>
      <c r="D19" s="61"/>
      <c r="E19" s="61"/>
      <c r="F19" s="61"/>
    </row>
    <row r="20" customFormat="false" ht="30" hidden="false" customHeight="true" outlineLevel="0" collapsed="false">
      <c r="A20" s="60" t="s">
        <v>156</v>
      </c>
      <c r="B20" s="62" t="s">
        <v>157</v>
      </c>
      <c r="C20" s="62"/>
      <c r="D20" s="62"/>
      <c r="E20" s="62"/>
      <c r="F20" s="62"/>
    </row>
    <row r="21" customFormat="false" ht="30" hidden="false" customHeight="true" outlineLevel="0" collapsed="false">
      <c r="A21" s="60" t="s">
        <v>158</v>
      </c>
      <c r="B21" s="61" t="s">
        <v>159</v>
      </c>
      <c r="C21" s="61"/>
      <c r="D21" s="61"/>
      <c r="E21" s="61"/>
      <c r="F21" s="61"/>
    </row>
    <row r="22" customFormat="false" ht="30" hidden="false" customHeight="true" outlineLevel="0" collapsed="false">
      <c r="A22" s="60" t="s">
        <v>160</v>
      </c>
      <c r="B22" s="62" t="s">
        <v>161</v>
      </c>
      <c r="C22" s="62"/>
      <c r="D22" s="62"/>
      <c r="E22" s="62"/>
      <c r="F22" s="62"/>
    </row>
    <row r="23" customFormat="false" ht="30" hidden="false" customHeight="true" outlineLevel="0" collapsed="false">
      <c r="A23" s="60" t="s">
        <v>162</v>
      </c>
      <c r="B23" s="61" t="s">
        <v>163</v>
      </c>
      <c r="C23" s="61"/>
      <c r="D23" s="61"/>
      <c r="E23" s="61"/>
      <c r="F23" s="61"/>
    </row>
    <row r="25" customFormat="false" ht="21.75" hidden="false" customHeight="true" outlineLevel="0" collapsed="false">
      <c r="A25" s="23" t="s">
        <v>164</v>
      </c>
      <c r="B25" s="23"/>
      <c r="C25" s="23"/>
      <c r="D25" s="23"/>
      <c r="E25" s="23"/>
      <c r="F25" s="23"/>
    </row>
    <row r="26" customFormat="false" ht="30" hidden="false" customHeight="true" outlineLevel="0" collapsed="false">
      <c r="A26" s="60" t="s">
        <v>165</v>
      </c>
      <c r="B26" s="62" t="s">
        <v>166</v>
      </c>
      <c r="C26" s="62"/>
      <c r="D26" s="62"/>
      <c r="E26" s="62"/>
      <c r="F26" s="62"/>
    </row>
    <row r="27" customFormat="false" ht="30" hidden="false" customHeight="true" outlineLevel="0" collapsed="false">
      <c r="A27" s="60" t="s">
        <v>167</v>
      </c>
      <c r="B27" s="61" t="s">
        <v>168</v>
      </c>
      <c r="C27" s="61"/>
      <c r="D27" s="61"/>
      <c r="E27" s="61"/>
      <c r="F27" s="61"/>
    </row>
    <row r="29" customFormat="false" ht="21.75" hidden="false" customHeight="true" outlineLevel="0" collapsed="false">
      <c r="A29" s="23" t="s">
        <v>169</v>
      </c>
      <c r="B29" s="23"/>
      <c r="C29" s="23"/>
      <c r="D29" s="23"/>
      <c r="E29" s="23"/>
      <c r="F29" s="23"/>
    </row>
    <row r="30" customFormat="false" ht="30" hidden="false" customHeight="true" outlineLevel="0" collapsed="false">
      <c r="A30" s="60" t="s">
        <v>170</v>
      </c>
      <c r="B30" s="62" t="s">
        <v>171</v>
      </c>
      <c r="C30" s="62"/>
      <c r="D30" s="62"/>
      <c r="E30" s="62"/>
      <c r="F30" s="62"/>
    </row>
    <row r="31" customFormat="false" ht="30" hidden="false" customHeight="true" outlineLevel="0" collapsed="false">
      <c r="A31" s="60" t="s">
        <v>170</v>
      </c>
      <c r="B31" s="61" t="s">
        <v>172</v>
      </c>
      <c r="C31" s="61"/>
      <c r="D31" s="61"/>
      <c r="E31" s="61"/>
      <c r="F31" s="61"/>
    </row>
    <row r="32" customFormat="false" ht="30" hidden="false" customHeight="true" outlineLevel="0" collapsed="false">
      <c r="A32" s="60" t="s">
        <v>173</v>
      </c>
      <c r="B32" s="62" t="s">
        <v>174</v>
      </c>
      <c r="C32" s="62"/>
      <c r="D32" s="62"/>
      <c r="E32" s="62"/>
      <c r="F32" s="62"/>
    </row>
    <row r="33" customFormat="false" ht="30" hidden="false" customHeight="true" outlineLevel="0" collapsed="false">
      <c r="A33" s="60" t="s">
        <v>173</v>
      </c>
      <c r="B33" s="61" t="s">
        <v>175</v>
      </c>
      <c r="C33" s="61"/>
      <c r="D33" s="61"/>
      <c r="E33" s="61"/>
      <c r="F33" s="61"/>
    </row>
    <row r="34" customFormat="false" ht="30" hidden="false" customHeight="true" outlineLevel="0" collapsed="false">
      <c r="A34" s="60" t="s">
        <v>173</v>
      </c>
      <c r="B34" s="62" t="s">
        <v>176</v>
      </c>
      <c r="C34" s="62"/>
      <c r="D34" s="62"/>
      <c r="E34" s="62"/>
      <c r="F34" s="62"/>
    </row>
  </sheetData>
  <mergeCells count="30">
    <mergeCell ref="A1:F1"/>
    <mergeCell ref="A2:F2"/>
    <mergeCell ref="B3:F3"/>
    <mergeCell ref="B4:F4"/>
    <mergeCell ref="A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6:F26"/>
    <mergeCell ref="B27:F27"/>
    <mergeCell ref="A29:F29"/>
    <mergeCell ref="B30:F30"/>
    <mergeCell ref="B31:F31"/>
    <mergeCell ref="B32:F32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2026-04-07T16:32:00Z</dcterms:created>
  <dc:creator>openpyxl</dc:creator>
  <dc:description/>
  <dc:language>en-US</dc:language>
  <cp:lastModifiedBy/>
  <dcterms:modified xsi:type="dcterms:W3CDTF">2026-04-07T16:32:00Z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